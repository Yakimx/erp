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работа\промвентиляция_проект\2022\планы 2022\упкп\"/>
    </mc:Choice>
  </mc:AlternateContent>
  <bookViews>
    <workbookView xWindow="0" yWindow="0" windowWidth="28800" windowHeight="11415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K116" i="1" l="1"/>
  <c r="K128" i="1"/>
  <c r="K103" i="1"/>
  <c r="K45" i="1"/>
</calcChain>
</file>

<file path=xl/sharedStrings.xml><?xml version="1.0" encoding="utf-8"?>
<sst xmlns="http://schemas.openxmlformats.org/spreadsheetml/2006/main" count="315" uniqueCount="179">
  <si>
    <t xml:space="preserve">Договор </t>
  </si>
  <si>
    <t xml:space="preserve">Наименование </t>
  </si>
  <si>
    <t xml:space="preserve">Чертежи </t>
  </si>
  <si>
    <t>Комплектация</t>
  </si>
  <si>
    <t>Автоматика изготовление</t>
  </si>
  <si>
    <t>дата по договору</t>
  </si>
  <si>
    <t>Дата производства</t>
  </si>
  <si>
    <t>дата отгрузки</t>
  </si>
  <si>
    <t>№4940 Белакваторг</t>
  </si>
  <si>
    <t>Установка приточная УПКП-1,5 "Симпл", в к-те с САУ, система П1, РБ №566-2022_ИЗМ1</t>
  </si>
  <si>
    <t>+</t>
  </si>
  <si>
    <t>№5586 Конвент</t>
  </si>
  <si>
    <t>Установка приточно-вытяжная УПКП-5,0 "Оптима", в к-те с САУ, система П1В1, РБ №977-2022</t>
  </si>
  <si>
    <t>готово</t>
  </si>
  <si>
    <t>20.10-21.10</t>
  </si>
  <si>
    <t>Установка приточно-вытяжная УПКП-7,0 "Оптима", в к-те с САУ, система П2В2, РБ №978-2022</t>
  </si>
  <si>
    <t>№5939 Фанбер</t>
  </si>
  <si>
    <t>Установка приточная УПКП-2,5 "Вариус", в к-те с САУ, система П1, РБ №1597-2022_ИЗМ1 (подвесной)</t>
  </si>
  <si>
    <t>№6161Випсети</t>
  </si>
  <si>
    <t>Установка приточная УПКП-0,8 "Симпл", в к-те с САУ, система П1, РБ №1279-2022</t>
  </si>
  <si>
    <t>Установка приточная УПКП-1,2 "Симпл", в к-те с САУ, система П2, РБ №1280-2022</t>
  </si>
  <si>
    <t>Установка приточная УПКП-2,0 "Вариус", в к-те с САУ, система П3,  РБ №1281-2022</t>
  </si>
  <si>
    <t>Установка приточная УПКП-2,0 "Вариус", в к-те с САУ, система  П4, РБ №1281-2022</t>
  </si>
  <si>
    <t>Установка приточная УПКП-5,0 "Вариус", в к-те с САУ, система П5, РБ №1282-2022</t>
  </si>
  <si>
    <t>Установка приточная УПКП-5,0 "Вариус", в к-те с САУ, система  П6, РБ №1282-2022</t>
  </si>
  <si>
    <t>№6158 Вентмонтаж</t>
  </si>
  <si>
    <t>Установка приточная УПКП-2,0 "Симпл", в к-те с САУ, система П1, РБ №1669-2022</t>
  </si>
  <si>
    <t>Установка приточно-вытяжная УПКП-3,0 "Оптима", в к-те с САУ, система ПВ2, РБ №1670-2022</t>
  </si>
  <si>
    <t>№2360 ОАО "Минскремстрой" ф-л "Сантехгазмонтаж"</t>
  </si>
  <si>
    <t>Установка приточная УПКП-4,0 "Симпл" в к-те с САУ (П1, РБ№375-2022)</t>
  </si>
  <si>
    <t>Установка приточная УПКП-2,5 "Симпл" в к-те с САУ (П2, РБ№376-2022)</t>
  </si>
  <si>
    <t>№4450УСП СПМК-33 ОАО "Пинсксовхозстрой"</t>
  </si>
  <si>
    <t>1 Установка приточная УПКПгк-3,0 "Вариус", в гигиеническом исполнении, в к-те с САУ и узлом регулирова</t>
  </si>
  <si>
    <t>2 Установка приточная УПКП-0,8 "Симпл", в к-те с САУ и узлом регулирования, система П2, РБ №2086-2021</t>
  </si>
  <si>
    <t>№6333 БелвентЭксперт</t>
  </si>
  <si>
    <t>Установка приточная УПКП-0,4 "Вариус", в к-те с САУ, система П6, РБ №1421-2022</t>
  </si>
  <si>
    <t>№6176 Шаманаев</t>
  </si>
  <si>
    <t>секции вентиляторов к УПКП -- 19шт</t>
  </si>
  <si>
    <t>28.10-31.10.2022</t>
  </si>
  <si>
    <t>01.11-02.11</t>
  </si>
  <si>
    <t>НОЯБРЬ ТОЧНО</t>
  </si>
  <si>
    <t>№6073 Полимерконструкция</t>
  </si>
  <si>
    <t>Установка п-в УПКПн-0,8 "Оптима", в наруж.исп., в к-те с САУ (шкаф наруж. исп.), РБ №1201-2022 изм.1</t>
  </si>
  <si>
    <t>№6082 Аксмебель</t>
  </si>
  <si>
    <t>Приточная вентиляц. установка с электрообогревом УПКП-250/9,0 "Компакт-МК"с сист. автоматики (380В)</t>
  </si>
  <si>
    <t>№6247 Крамов</t>
  </si>
  <si>
    <t>Установка приточная УПКП-5,0 "Симпл", в к-те с САУ и узлом регулирования, система П1, РБ №1598-2022</t>
  </si>
  <si>
    <t>№6398 Гардэксперт</t>
  </si>
  <si>
    <t>Установка приточная УПКП-2,0 "Симпл", в к-те с САУ, система П1, РБ №627-2022 изм.2</t>
  </si>
  <si>
    <t>Установка приточная УПКП-1,2 "Симпл", в к-те с САУ, система П2, РБ №628-2022 изм.2</t>
  </si>
  <si>
    <t>Установка приточная УПКП-1,2 "Симпл", в к-те с САУ, система П3, РБ №629-2022 изм.2</t>
  </si>
  <si>
    <t>Установка приточная УПКП-2,0 "Симпл", в к-те с САУ, система П4, РБ №630-2022 изм.2</t>
  </si>
  <si>
    <t>Установка приточная УПКП-2,0 "Вариус", в к-те с САУ, система П5, РБ №631-2022 изм.2</t>
  </si>
  <si>
    <t xml:space="preserve">№6005 Конструктив </t>
  </si>
  <si>
    <t>Установка приточно-вытяжная гигиен. исполн. УПКПгк-5,0 "Оптима",в к-те с САУ (ПВ1,РБ №873-2022 изм2)</t>
  </si>
  <si>
    <t xml:space="preserve">мало предоплаты </t>
  </si>
  <si>
    <t xml:space="preserve">№3575 ПСУ  ОАО "Гроднопромстрой"    </t>
  </si>
  <si>
    <t>Установка приточно-вытяжная УПКП-2,0 "Оптима", в к-те с САУ, система ПВУ2, РБ №890-2022</t>
  </si>
  <si>
    <t>теплообм. 50нед</t>
  </si>
  <si>
    <t>Установка приточно-вытяжная УПКПн-2,0 "Оптима", в нар.исп., в к-те с САУ, система ПВУ3, РБ №891-2022</t>
  </si>
  <si>
    <t>рекуператор 50нед</t>
  </si>
  <si>
    <t>№6653 чистый берег</t>
  </si>
  <si>
    <t>Установка приточная  УПКП-8,5 "Симпл"  в к-те с САУ (П3, РБ№1828-2022)</t>
  </si>
  <si>
    <t>№6119 Эддитек</t>
  </si>
  <si>
    <t>Установка приточная УПКП-4,0 "Вариус", в к-те с САУ, система П1, РБ №1108-2022</t>
  </si>
  <si>
    <t>23-24.11.2022</t>
  </si>
  <si>
    <t>Установка приточная УПКП-1,2 "Вариус", в к-те с САУ, система П2, РБ №1109-2022</t>
  </si>
  <si>
    <t>Установка приточная УПКП-2,5 "Вариус", в к-те с САУ, система П3, РБ №1110-2022</t>
  </si>
  <si>
    <t>№7188 СПМК-132</t>
  </si>
  <si>
    <t>Установка приточно-вытяжная УПКП-5,0 "Оптима", в к-те с САУ, система П1В1, РБ №1415-2022 (разборный)</t>
  </si>
  <si>
    <t>25-29.11.2022</t>
  </si>
  <si>
    <t>Установка приточно-вытяжная УПКП-5,0 "Оптима", в к-те
с САУ, система П2В2, РБ №1416-2022 (разборный)</t>
  </si>
  <si>
    <t>Установка приточная УПКП-1,2 "Вариус", в к-те с САУ,
система П3, РБ №1417-2022</t>
  </si>
  <si>
    <t>Установка приточная УПКПгк-1,5 "Вариус", гигиеническое исполнение в к-те с САУ, система П4, РБ
№1418-2022</t>
  </si>
  <si>
    <t>Установка приточная УПКПгк-0,8 "Вариус" гигиеническое исполнение в к-те с САУ, система П5, РБ №1419-2022</t>
  </si>
  <si>
    <t>№6121 Жлобинметаллургстрой</t>
  </si>
  <si>
    <t>Установка приточная УПКП-0,4 "Симпл", в к-те с САУ и узлом регулирования, система П2, РБ №142-2022</t>
  </si>
  <si>
    <t>23.11.2022/щит</t>
  </si>
  <si>
    <t>Установка приточная УПКП-0,4 "Симпл", в к-те с САУ и узлом регулирования, система П3, РБ №143-2022</t>
  </si>
  <si>
    <t>Установка приточная УПКП-0,4 "Симпл", в к-те с САУ и узлом регулирования, система П4, РБ №144-2022</t>
  </si>
  <si>
    <t>24.11.2022/щит</t>
  </si>
  <si>
    <t>Установка приточная УПКП-0,4 "Симпл", в к-те с САУ и узлом регулирования, система П5, РБ №145-2022</t>
  </si>
  <si>
    <t>Установка приточная УПКП-5,0 "Симпл", в к-те с САУ и узлом регулирования, система П6, РБ №146-2022</t>
  </si>
  <si>
    <t>Установка приточная УПКП-35,0 "Симпл", в к-те с САУ и узлом регулирования, система П8, РБ №147-2022</t>
  </si>
  <si>
    <t>Установка приточная УПКП-2,0 "Симпл", в к-те с САУ и узлом регулирования, система П9, РБ №148-2022</t>
  </si>
  <si>
    <t>Установка приточная УПКП-20,0 "Вариус", в к-те с САУ и узлом регулирования, система П1.1, РБ №149-20</t>
  </si>
  <si>
    <t>25.11.2022/щит</t>
  </si>
  <si>
    <t>01-06.12.2022</t>
  </si>
  <si>
    <t>Установка приточная УПКП-15,0 "Вариус", в к-те с САУ и узлом регулирования, система П1.2, РБ №150-20</t>
  </si>
  <si>
    <t>Установка приточная УПКП-15,0 "Вариус", в к-те с САУ и узлом регулирования, система П1.3, РБ №151-20</t>
  </si>
  <si>
    <t>29.11.2022/щит</t>
  </si>
  <si>
    <t>Установка приточная УПКП-15,0 "Вариус", в к-те с САУ и узлом регулирования, система П1.4, РБ №152-20</t>
  </si>
  <si>
    <t>Установка приточная УПКП-15,0 "Вариус", в к-те с САУ и узлом регулирования, система П1.5, РБ №153-20</t>
  </si>
  <si>
    <t>01-07.12.2022</t>
  </si>
  <si>
    <t>Установка приточная УПКП-15,0 "Вариус", в к-те с САУ и узлом регулирования, система П1.6, РБ №154-20</t>
  </si>
  <si>
    <t>ДЕКАБРЬ ТОЧНО</t>
  </si>
  <si>
    <t>№6913 Инновент</t>
  </si>
  <si>
    <t>Установка приточная УПКП-5,0 "Симпл", в к-те с САУ (П1, РБ №626-2022)</t>
  </si>
  <si>
    <t>№6597 Савушкин продукт</t>
  </si>
  <si>
    <t>Уст-ка приточ УПКПн-12,5 "Вариус",в наруж.исп.,САУ (Modbus IP), П1,РБ №1412-2022_ИЗМ3 БЕЗ ККБ</t>
  </si>
  <si>
    <t>05.12.2022 12-00</t>
  </si>
  <si>
    <t>08-09.12.2022</t>
  </si>
  <si>
    <t>Уст-ка прит. УПКПн-3,0 "Симпл", в наружю испю, САУ (Modbus IP), П2,РБ №1413-2022_ИЗМ1</t>
  </si>
  <si>
    <t>Уст-ка прит. УПКПн-3,0 "Симпл", в наружю испю, САУ (Modbus IP), П3,РБ №1414-2022_ИЗМ1</t>
  </si>
  <si>
    <t>№6444 Алистэн</t>
  </si>
  <si>
    <t>Уст-ка приточная УПКПнг-3,0 "Вариус", наруж исп.,гигиен. исп., без САУ, П1,РБ№1470_ИЗМ2-2021 без ККБ</t>
  </si>
  <si>
    <t>без сау</t>
  </si>
  <si>
    <t>06-09.12.2022</t>
  </si>
  <si>
    <t>№7283 (8ка) Гроднооблукс</t>
  </si>
  <si>
    <t>Установка приточная УПКП-2,5 "Вариус", в к-те с САУ, система П1, РБ №1691-2022</t>
  </si>
  <si>
    <t>09.12.2022 12-00</t>
  </si>
  <si>
    <t>№6656 СПМК-33</t>
  </si>
  <si>
    <t>Установка приточная УПКП-7,0 "Симпл", в к-те с САУ и узл. рег., П1, РБ №1983_ИЗМ4-2021</t>
  </si>
  <si>
    <t>09.12.2022 17-00</t>
  </si>
  <si>
    <t>Установка приточная УПКП-0,4 "Симпл", в к-те с САУ и узлом регулирования, система П1, РБ №1686-2021</t>
  </si>
  <si>
    <t>№6962 Солюшн</t>
  </si>
  <si>
    <t>Установка приточно-вытяжная УПКП-1,5 "Оптима", в к-те с САУ, система ПВ1, РБ №1883-2022</t>
  </si>
  <si>
    <t>12.12.2022 15-00</t>
  </si>
  <si>
    <t>№7425 Мингорукс</t>
  </si>
  <si>
    <t>Установка приточно-вытяжная УПКП-2,0 "Оптима", в к-те с САУ, система ПВ1, РБ №1496-2022</t>
  </si>
  <si>
    <t>12.12.2022 17-00</t>
  </si>
  <si>
    <t>№7426 Мингорукс</t>
  </si>
  <si>
    <t xml:space="preserve">Установка приточно-вытяжная УПКП-3,0 "Оптима", в к-те с САУ, система ПВ1, РБ №1645-2022 </t>
  </si>
  <si>
    <t>13.12.2022 15-00</t>
  </si>
  <si>
    <t>№6968 ЭСМ</t>
  </si>
  <si>
    <t>Установка приточная УПКП-0,8 "Вариус", в к-те с САУ,система П1, РБ №2009-2022</t>
  </si>
  <si>
    <t>14.12.2022 15-00</t>
  </si>
  <si>
    <t>Окно свободное</t>
  </si>
  <si>
    <t>окно свободное</t>
  </si>
  <si>
    <t>14-16.12</t>
  </si>
  <si>
    <t>№6734 ПСУ</t>
  </si>
  <si>
    <t>Установка приточно-вытяжная УПКП-0,8 "Оптима", в к-те с САУ, система ПВУ1, РБ №312-2022_ИЗМ1</t>
  </si>
  <si>
    <t>22.12.2022 17-00</t>
  </si>
  <si>
    <t>Установка приточно-вытяжная УПКП-2,0 "Оптима", в к-те с САУ, система ПВУ2, РБ №313-2022_ИЗМ2</t>
  </si>
  <si>
    <t>Установка приточно-вытяжная УПКП-2,0 "Оптима", в к-те с САУ, система ПВУ3, РБ №314-2022_ИЗМ1</t>
  </si>
  <si>
    <t>23.12.2022 17-00</t>
  </si>
  <si>
    <t>Установка приточно-вытяжная УПКП-1,2 "Оптима", в к-те с САУ, система ПВУ4, РБ №315-2022_ИЗМ1</t>
  </si>
  <si>
    <t>Установка приточная УПКП-2,5 "Симпл", в к-те с САУ, система П1, РБ №316-2022</t>
  </si>
  <si>
    <t>20.12.2022 15-00</t>
  </si>
  <si>
    <t>Установка приточная УПКП-1,2 "Симпл", в к-те с САУ, система П2, РБ №317-2022</t>
  </si>
  <si>
    <t>Установка приточная УПКП-2,0 "Симпл", в к-те с САУ, система П3, РБ №318-2022</t>
  </si>
  <si>
    <t>Установка приточная УПКП-2,0 "Симпл", в к-те с САУ, система П4, РБ №319-2022</t>
  </si>
  <si>
    <t>Установка приточная УПКП-4,0 "Симпл", в к-те с САУ, система П5, РБ №320-2022</t>
  </si>
  <si>
    <t>№7446 Белнефтепроект</t>
  </si>
  <si>
    <t>Сборочный комплект секции водяного нагревателя к установке приточно-вытяжной УПКП-7,0 "Оптима" РБ №1866-2022_ИЗМ1</t>
  </si>
  <si>
    <t>Сборочный комплект секции приточного вентилятора к установке приточно-вытяжной УПКП-7,0 "Оптима" РБ №1866-2022_ИЗМ1</t>
  </si>
  <si>
    <t>Сборочный комплект секции вытяжного вентилятора к установке приточно-вытяжной УПКП-7,0 "Оптима" РБ №1866-2022_ИЗМ1</t>
  </si>
  <si>
    <t>Сборочный комплект секции фильтра к установке приточно-вытяжной УПКП-7,0 "Оптима" РБ №1866-2022_ИЗМ1</t>
  </si>
  <si>
    <t>Сборочный комплект секции роторного рекуператора к установке приточно-вытяжной УПКП-7,0 "Оптима" РБ №1866-2022_ИЗМ1</t>
  </si>
  <si>
    <t>Сборочный комплект пустой секции на выходе вытяжного воздуха к установке приточно-вытяжной УПКП-7,0 "Оптима" РБ №1866-2022_ИЗМ1</t>
  </si>
  <si>
    <t>Система автоматического управления САУ к УПКП-7,0 "Оптима" РБ №1866-2022_ИЗМ1</t>
  </si>
  <si>
    <t>26.12.2022 14-00</t>
  </si>
  <si>
    <t>№7255 Савушкин продукт (береза сыр)</t>
  </si>
  <si>
    <t>УПКП-15,0 "Оптима"</t>
  </si>
  <si>
    <t>декабрь</t>
  </si>
  <si>
    <t>№7518 Гродноукс</t>
  </si>
  <si>
    <t>Установка приточная УПКП-1,5 "Симпл", в к-те с САУ, система П1, РБ №1866-2022</t>
  </si>
  <si>
    <t>декабрь/январь</t>
  </si>
  <si>
    <t>Установка приточная УПКПг-6,0 "Симпл", в гигиеническом исполнении, в к-те с САУ, система П2, РБ №1867-2022</t>
  </si>
  <si>
    <t>Установка приточная УПКПг-0,8 "Симпл", в гигиеническом исполнении, в к-те с САУ, система П3, РБ №1868-2022</t>
  </si>
  <si>
    <t>Установка приточная УПКПг-1,5 "Симпл", в гигиеническом исполнении, в к-те с САУ, система П4, РБ №1869-2022</t>
  </si>
  <si>
    <t>Установка приточная УПКПг-2,5 "Симпл", в гигиеническом исполнении, в к-те с САУ, система П5, РБ №1870-2022</t>
  </si>
  <si>
    <t>Установка приточная УПКПг-2,5 "Симпл", в гигиеническом исполнении, в к-те с САУ, система П6, РБ №1871-2022</t>
  </si>
  <si>
    <t>Установка приточная УПКП-2,5 "Симпл", в к-те с САУ, система П7, РБ №1872-2022</t>
  </si>
  <si>
    <t>№5125  "ООО"Солидвент""</t>
  </si>
  <si>
    <t>Установка приточная  УПКП-22,5 "Симпл" в к-те с САУ (П1, РБ№1312-2022))</t>
  </si>
  <si>
    <t>НЕТ ОПЛАТЫ</t>
  </si>
  <si>
    <t>№7528 Солюшн</t>
  </si>
  <si>
    <t>Установка приточная УПКП-1,2 "Вариус", в к-те с САУ, РБ №1972-2022</t>
  </si>
  <si>
    <t>№7641 Крамов</t>
  </si>
  <si>
    <t>№7639 Крамов</t>
  </si>
  <si>
    <t>№6843 Крамов</t>
  </si>
  <si>
    <t>№7645 Крамов</t>
  </si>
  <si>
    <t>Установка приточная УПКП-2,0 "Вариус", в к-те с САУ (П1, РБ №1878-2022)</t>
  </si>
  <si>
    <t>Установка приточная УПКП-2,0 "Вариус", в к-те с САУ (П2, РБ №1878-2022)</t>
  </si>
  <si>
    <t>Установка приточная УПКП-2,0 "Вариус", в к-те с САУ,система П1, РБ №1892-2022_ИЗМ1</t>
  </si>
  <si>
    <t>СВЕЖАТИНКА НА 25.11</t>
  </si>
  <si>
    <t>ЗА ПЛАНОМ, НО БУДЕМ ДЕЛАТЬ</t>
  </si>
  <si>
    <t>УЖЕ ВРЯТЛИ БУДЕТ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</si>
</sst>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scheme val="minor"/>
    </font>
    <font>
      <sz val="8"/>
      <name val="Arial"/>
    </font>
    <font>
      <b/>
      <sz val="11"/>
      <color theme="1"/>
      <name val="Calibri"/>
      <scheme val="minor"/>
    </font>
    <font>
      <sz val="15"/>
      <color indexed="2"/>
      <name val="Calibri"/>
      <scheme val="minor"/>
    </font>
    <font>
      <sz val="11"/>
      <name val="Calibri"/>
      <scheme val="minor"/>
    </font>
    <font>
      <sz val="15"/>
      <color theme="4" tint="-0.249977111117893"/>
      <name val="Calibri"/>
      <scheme val="minor"/>
    </font>
    <font>
      <b/>
      <sz val="11"/>
      <color indexed="2"/>
      <name val="Calibri"/>
      <scheme val="minor"/>
    </font>
    <font>
      <sz val="15"/>
      <color rgb="FFFF0000"/>
      <name val="Calibri"/>
      <family val="2"/>
      <charset val="204"/>
      <scheme val="minor"/>
    </font>
    <font>
      <sz val="15"/>
      <name val="Calibri"/>
      <family val="2"/>
      <charset val="204"/>
      <scheme val="minor"/>
    </font>
    <font>
      <sz val="15"/>
      <color rgb="FFC0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9" tint="0.39997558519241921"/>
        <bgColor theme="8" tint="0.39997558519241921"/>
      </patternFill>
    </fill>
    <fill>
      <patternFill patternType="solid">
        <fgColor theme="9" tint="0.39997558519241921"/>
        <bgColor indexed="5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0"/>
        <bgColor theme="0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4">
    <xf numFmtId="0" fontId="0" fillId="0" borderId="0" xfId="0"/>
    <xf numFmtId="0" fontId="0" fillId="0" borderId="0" xfId="0" applyAlignment="1">
      <alignment horizontal="center"/>
    </xf>
    <xf numFmtId="14" fontId="2" fillId="0" borderId="1" xfId="0" applyNumberFormat="1" applyFont="1" applyBorder="1"/>
    <xf numFmtId="14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4" fontId="2" fillId="0" borderId="2" xfId="0" applyNumberFormat="1" applyFont="1" applyBorder="1" applyAlignment="1">
      <alignment wrapText="1"/>
    </xf>
    <xf numFmtId="14" fontId="2" fillId="0" borderId="3" xfId="0" applyNumberFormat="1" applyFont="1" applyBorder="1"/>
    <xf numFmtId="14" fontId="2" fillId="0" borderId="4" xfId="0" applyNumberFormat="1" applyFont="1" applyBorder="1"/>
    <xf numFmtId="14" fontId="2" fillId="0" borderId="5" xfId="0" applyNumberFormat="1" applyFont="1" applyBorder="1"/>
    <xf numFmtId="14" fontId="0" fillId="0" borderId="0" xfId="0" applyNumberFormat="1"/>
    <xf numFmtId="0" fontId="0" fillId="0" borderId="6" xfId="0" applyBorder="1"/>
    <xf numFmtId="0" fontId="0" fillId="0" borderId="6" xfId="0" applyBorder="1" applyAlignment="1">
      <alignment horizontal="center"/>
    </xf>
    <xf numFmtId="14" fontId="0" fillId="0" borderId="7" xfId="0" applyNumberFormat="1" applyBorder="1"/>
    <xf numFmtId="16" fontId="0" fillId="0" borderId="6" xfId="0" applyNumberForma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6" xfId="0" applyNumberFormat="1" applyBorder="1"/>
    <xf numFmtId="16" fontId="0" fillId="0" borderId="2" xfId="0" applyNumberFormat="1" applyBorder="1"/>
    <xf numFmtId="0" fontId="2" fillId="0" borderId="2" xfId="0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16" fontId="0" fillId="0" borderId="10" xfId="0" applyNumberFormat="1" applyBorder="1"/>
    <xf numFmtId="0" fontId="2" fillId="0" borderId="10" xfId="0" applyFont="1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16" fontId="0" fillId="0" borderId="12" xfId="0" applyNumberFormat="1" applyBorder="1"/>
    <xf numFmtId="16" fontId="2" fillId="0" borderId="12" xfId="0" applyNumberFormat="1" applyFont="1" applyBorder="1" applyAlignment="1">
      <alignment horizontal="right"/>
    </xf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6" fontId="2" fillId="0" borderId="2" xfId="0" applyNumberFormat="1" applyFont="1" applyBorder="1" applyAlignment="1">
      <alignment horizontal="right"/>
    </xf>
    <xf numFmtId="0" fontId="0" fillId="2" borderId="13" xfId="0" applyFill="1" applyBorder="1"/>
    <xf numFmtId="0" fontId="0" fillId="2" borderId="7" xfId="0" applyFill="1" applyBorder="1"/>
    <xf numFmtId="0" fontId="0" fillId="0" borderId="7" xfId="0" applyBorder="1" applyAlignment="1">
      <alignment horizontal="center"/>
    </xf>
    <xf numFmtId="0" fontId="0" fillId="0" borderId="7" xfId="0" applyBorder="1"/>
    <xf numFmtId="16" fontId="0" fillId="0" borderId="7" xfId="0" applyNumberFormat="1" applyBorder="1"/>
    <xf numFmtId="0" fontId="2" fillId="0" borderId="7" xfId="0" applyFont="1" applyBorder="1" applyAlignment="1">
      <alignment horizontal="right"/>
    </xf>
    <xf numFmtId="0" fontId="0" fillId="0" borderId="14" xfId="0" applyBorder="1"/>
    <xf numFmtId="0" fontId="0" fillId="0" borderId="13" xfId="0" applyBorder="1"/>
    <xf numFmtId="16" fontId="0" fillId="3" borderId="7" xfId="0" applyNumberFormat="1" applyFill="1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16" fontId="0" fillId="0" borderId="16" xfId="0" applyNumberFormat="1" applyBorder="1"/>
    <xf numFmtId="16" fontId="0" fillId="0" borderId="17" xfId="0" applyNumberFormat="1" applyBorder="1"/>
    <xf numFmtId="0" fontId="0" fillId="0" borderId="18" xfId="0" applyBorder="1"/>
    <xf numFmtId="0" fontId="0" fillId="0" borderId="18" xfId="0" applyBorder="1" applyAlignment="1">
      <alignment horizontal="center"/>
    </xf>
    <xf numFmtId="16" fontId="0" fillId="0" borderId="18" xfId="0" applyNumberFormat="1" applyBorder="1"/>
    <xf numFmtId="16" fontId="2" fillId="0" borderId="18" xfId="0" applyNumberFormat="1" applyFont="1" applyBorder="1" applyAlignment="1">
      <alignment horizontal="right"/>
    </xf>
    <xf numFmtId="16" fontId="0" fillId="3" borderId="18" xfId="0" applyNumberFormat="1" applyFill="1" applyBorder="1"/>
    <xf numFmtId="0" fontId="0" fillId="0" borderId="19" xfId="0" applyBorder="1"/>
    <xf numFmtId="16" fontId="2" fillId="0" borderId="6" xfId="0" applyNumberFormat="1" applyFont="1" applyBorder="1" applyAlignment="1">
      <alignment horizontal="right"/>
    </xf>
    <xf numFmtId="16" fontId="0" fillId="3" borderId="6" xfId="0" applyNumberFormat="1" applyFill="1" applyBorder="1"/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16" fontId="2" fillId="0" borderId="17" xfId="0" applyNumberFormat="1" applyFont="1" applyBorder="1" applyAlignment="1">
      <alignment horizontal="right"/>
    </xf>
    <xf numFmtId="0" fontId="0" fillId="3" borderId="17" xfId="0" applyFill="1" applyBorder="1"/>
    <xf numFmtId="0" fontId="0" fillId="0" borderId="22" xfId="0" applyBorder="1"/>
    <xf numFmtId="0" fontId="3" fillId="0" borderId="6" xfId="0" applyFont="1" applyBorder="1" applyAlignment="1">
      <alignment horizontal="center"/>
    </xf>
    <xf numFmtId="16" fontId="0" fillId="0" borderId="23" xfId="0" applyNumberFormat="1" applyBorder="1"/>
    <xf numFmtId="0" fontId="0" fillId="0" borderId="24" xfId="0" applyBorder="1"/>
    <xf numFmtId="0" fontId="2" fillId="0" borderId="18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0" fillId="2" borderId="6" xfId="0" applyFill="1" applyBorder="1"/>
    <xf numFmtId="16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right"/>
    </xf>
    <xf numFmtId="16" fontId="0" fillId="4" borderId="18" xfId="0" applyNumberFormat="1" applyFill="1" applyBorder="1"/>
    <xf numFmtId="0" fontId="0" fillId="0" borderId="25" xfId="0" applyBorder="1"/>
    <xf numFmtId="16" fontId="0" fillId="0" borderId="12" xfId="0" applyNumberFormat="1" applyBorder="1" applyAlignment="1">
      <alignment horizontal="center"/>
    </xf>
    <xf numFmtId="0" fontId="2" fillId="0" borderId="12" xfId="0" applyFont="1" applyBorder="1" applyAlignment="1">
      <alignment horizontal="right"/>
    </xf>
    <xf numFmtId="16" fontId="0" fillId="0" borderId="17" xfId="0" applyNumberFormat="1" applyBorder="1" applyAlignment="1">
      <alignment horizontal="center"/>
    </xf>
    <xf numFmtId="16" fontId="0" fillId="4" borderId="17" xfId="0" applyNumberFormat="1" applyFill="1" applyBorder="1"/>
    <xf numFmtId="16" fontId="0" fillId="0" borderId="2" xfId="0" applyNumberFormat="1" applyBorder="1" applyAlignment="1">
      <alignment horizontal="center"/>
    </xf>
    <xf numFmtId="16" fontId="0" fillId="0" borderId="7" xfId="0" applyNumberFormat="1" applyBorder="1" applyAlignment="1">
      <alignment horizontal="center"/>
    </xf>
    <xf numFmtId="16" fontId="0" fillId="4" borderId="2" xfId="0" applyNumberFormat="1" applyFill="1" applyBorder="1"/>
    <xf numFmtId="0" fontId="0" fillId="0" borderId="26" xfId="0" applyBorder="1"/>
    <xf numFmtId="0" fontId="0" fillId="0" borderId="27" xfId="0" applyBorder="1"/>
    <xf numFmtId="16" fontId="0" fillId="4" borderId="6" xfId="0" applyNumberFormat="1" applyFill="1" applyBorder="1"/>
    <xf numFmtId="0" fontId="0" fillId="0" borderId="28" xfId="0" applyBorder="1"/>
    <xf numFmtId="16" fontId="0" fillId="0" borderId="16" xfId="0" applyNumberFormat="1" applyBorder="1" applyAlignment="1">
      <alignment horizontal="center"/>
    </xf>
    <xf numFmtId="16" fontId="0" fillId="0" borderId="29" xfId="0" applyNumberFormat="1" applyBorder="1" applyAlignment="1">
      <alignment horizontal="center"/>
    </xf>
    <xf numFmtId="0" fontId="2" fillId="0" borderId="16" xfId="0" applyFont="1" applyBorder="1" applyAlignment="1">
      <alignment horizontal="right"/>
    </xf>
    <xf numFmtId="16" fontId="0" fillId="4" borderId="16" xfId="0" applyNumberFormat="1" applyFill="1" applyBorder="1"/>
    <xf numFmtId="0" fontId="0" fillId="0" borderId="30" xfId="0" applyBorder="1"/>
    <xf numFmtId="0" fontId="4" fillId="0" borderId="2" xfId="1" applyFont="1" applyBorder="1" applyAlignment="1">
      <alignment wrapText="1"/>
    </xf>
    <xf numFmtId="16" fontId="0" fillId="5" borderId="2" xfId="0" applyNumberFormat="1" applyFill="1" applyBorder="1"/>
    <xf numFmtId="0" fontId="4" fillId="0" borderId="6" xfId="1" applyFont="1" applyBorder="1" applyAlignment="1">
      <alignment wrapText="1"/>
    </xf>
    <xf numFmtId="16" fontId="0" fillId="0" borderId="7" xfId="0" applyNumberFormat="1" applyBorder="1" applyAlignment="1">
      <alignment horizontal="center"/>
    </xf>
    <xf numFmtId="16" fontId="0" fillId="5" borderId="6" xfId="0" applyNumberFormat="1" applyFill="1" applyBorder="1"/>
    <xf numFmtId="0" fontId="4" fillId="0" borderId="16" xfId="1" applyFont="1" applyBorder="1" applyAlignment="1">
      <alignment horizontal="left" wrapText="1"/>
    </xf>
    <xf numFmtId="16" fontId="0" fillId="5" borderId="16" xfId="0" applyNumberFormat="1" applyFill="1" applyBorder="1"/>
    <xf numFmtId="3" fontId="0" fillId="0" borderId="31" xfId="0" applyNumberFormat="1" applyBorder="1"/>
    <xf numFmtId="16" fontId="0" fillId="0" borderId="6" xfId="0" applyNumberFormat="1" applyBorder="1" applyAlignment="1">
      <alignment horizontal="center"/>
    </xf>
    <xf numFmtId="16" fontId="0" fillId="6" borderId="6" xfId="0" applyNumberFormat="1" applyFill="1" applyBorder="1"/>
    <xf numFmtId="16" fontId="0" fillId="6" borderId="16" xfId="0" applyNumberFormat="1" applyFill="1" applyBorder="1"/>
    <xf numFmtId="0" fontId="5" fillId="0" borderId="18" xfId="0" applyFont="1" applyBorder="1" applyAlignment="1">
      <alignment horizontal="center"/>
    </xf>
    <xf numFmtId="0" fontId="4" fillId="0" borderId="17" xfId="0" applyFont="1" applyBorder="1" applyAlignment="1">
      <alignment horizontal="left"/>
    </xf>
    <xf numFmtId="16" fontId="0" fillId="6" borderId="17" xfId="0" applyNumberFormat="1" applyFill="1" applyBorder="1"/>
    <xf numFmtId="16" fontId="0" fillId="7" borderId="32" xfId="0" applyNumberFormat="1" applyFill="1" applyBorder="1"/>
    <xf numFmtId="16" fontId="0" fillId="6" borderId="2" xfId="0" applyNumberFormat="1" applyFill="1" applyBorder="1"/>
    <xf numFmtId="16" fontId="0" fillId="7" borderId="32" xfId="0" applyNumberFormat="1" applyFill="1" applyBorder="1"/>
    <xf numFmtId="16" fontId="0" fillId="6" borderId="7" xfId="0" applyNumberFormat="1" applyFill="1" applyBorder="1"/>
    <xf numFmtId="16" fontId="0" fillId="0" borderId="10" xfId="0" applyNumberFormat="1" applyBorder="1" applyAlignment="1">
      <alignment horizontal="center"/>
    </xf>
    <xf numFmtId="16" fontId="0" fillId="7" borderId="2" xfId="0" applyNumberFormat="1" applyFill="1" applyBorder="1"/>
    <xf numFmtId="16" fontId="0" fillId="6" borderId="10" xfId="0" applyNumberFormat="1" applyFill="1" applyBorder="1"/>
    <xf numFmtId="16" fontId="0" fillId="8" borderId="17" xfId="0" applyNumberFormat="1" applyFill="1" applyBorder="1"/>
    <xf numFmtId="0" fontId="4" fillId="0" borderId="18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6" fontId="0" fillId="0" borderId="17" xfId="0" applyNumberFormat="1" applyBorder="1"/>
    <xf numFmtId="16" fontId="0" fillId="8" borderId="2" xfId="0" applyNumberFormat="1" applyFill="1" applyBorder="1"/>
    <xf numFmtId="0" fontId="4" fillId="0" borderId="16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16" fontId="0" fillId="9" borderId="18" xfId="0" applyNumberFormat="1" applyFill="1" applyBorder="1"/>
    <xf numFmtId="0" fontId="4" fillId="0" borderId="2" xfId="2" applyFont="1" applyBorder="1" applyAlignment="1">
      <alignment wrapText="1"/>
    </xf>
    <xf numFmtId="16" fontId="0" fillId="0" borderId="32" xfId="0" applyNumberFormat="1" applyBorder="1"/>
    <xf numFmtId="0" fontId="4" fillId="0" borderId="6" xfId="2" applyFont="1" applyBorder="1" applyAlignment="1">
      <alignment wrapText="1"/>
    </xf>
    <xf numFmtId="16" fontId="0" fillId="0" borderId="32" xfId="0" applyNumberFormat="1" applyBorder="1"/>
    <xf numFmtId="16" fontId="0" fillId="8" borderId="6" xfId="0" applyNumberFormat="1" applyFill="1" applyBorder="1"/>
    <xf numFmtId="0" fontId="4" fillId="0" borderId="16" xfId="2" applyFont="1" applyBorder="1" applyAlignment="1">
      <alignment wrapText="1"/>
    </xf>
    <xf numFmtId="0" fontId="0" fillId="0" borderId="33" xfId="0" applyBorder="1"/>
    <xf numFmtId="16" fontId="0" fillId="0" borderId="34" xfId="0" applyNumberFormat="1" applyBorder="1"/>
    <xf numFmtId="16" fontId="0" fillId="0" borderId="35" xfId="0" applyNumberFormat="1" applyBorder="1"/>
    <xf numFmtId="16" fontId="0" fillId="8" borderId="16" xfId="0" applyNumberFormat="1" applyFill="1" applyBorder="1"/>
    <xf numFmtId="0" fontId="0" fillId="0" borderId="1" xfId="0" applyBorder="1" applyAlignment="1">
      <alignment vertical="top"/>
    </xf>
    <xf numFmtId="3" fontId="0" fillId="0" borderId="31" xfId="0" applyNumberFormat="1" applyBorder="1" applyAlignment="1">
      <alignment horizontal="left"/>
    </xf>
    <xf numFmtId="0" fontId="4" fillId="0" borderId="18" xfId="0" applyFont="1" applyBorder="1"/>
    <xf numFmtId="0" fontId="6" fillId="0" borderId="6" xfId="0" applyFont="1" applyBorder="1" applyAlignment="1">
      <alignment horizontal="center"/>
    </xf>
    <xf numFmtId="0" fontId="4" fillId="0" borderId="17" xfId="0" applyFont="1" applyBorder="1"/>
    <xf numFmtId="0" fontId="0" fillId="0" borderId="36" xfId="0" applyBorder="1"/>
    <xf numFmtId="0" fontId="0" fillId="0" borderId="0" xfId="0" applyBorder="1"/>
    <xf numFmtId="0" fontId="4" fillId="0" borderId="2" xfId="0" applyFont="1" applyBorder="1"/>
    <xf numFmtId="0" fontId="4" fillId="0" borderId="16" xfId="0" applyFont="1" applyBorder="1"/>
    <xf numFmtId="0" fontId="4" fillId="0" borderId="18" xfId="2" applyFont="1" applyBorder="1" applyAlignment="1">
      <alignment wrapText="1"/>
    </xf>
    <xf numFmtId="3" fontId="0" fillId="0" borderId="0" xfId="0" applyNumberFormat="1" applyBorder="1" applyAlignment="1">
      <alignment horizontal="left"/>
    </xf>
    <xf numFmtId="0" fontId="7" fillId="0" borderId="18" xfId="2" applyFont="1" applyBorder="1" applyAlignment="1">
      <alignment wrapText="1"/>
    </xf>
    <xf numFmtId="0" fontId="8" fillId="0" borderId="18" xfId="0" applyFont="1" applyBorder="1"/>
    <xf numFmtId="0" fontId="9" fillId="0" borderId="0" xfId="0" applyFont="1"/>
  </cellXfs>
  <cellStyles count="3">
    <cellStyle name="Обычный" xfId="0" builtinId="0"/>
    <cellStyle name="Обычный_Лист1" xfId="1"/>
    <cellStyle name="Обычный_Лист1_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5"/>
  <sheetViews>
    <sheetView tabSelected="1" topLeftCell="A94" zoomScale="85" workbookViewId="0">
      <selection activeCell="E94" sqref="E94"/>
    </sheetView>
  </sheetViews>
  <sheetFormatPr defaultRowHeight="15" x14ac:dyDescent="0.25"/>
  <cols>
    <col min="1" max="1" width="52.140625" customWidth="1"/>
    <col min="2" max="2" width="100.140625" customWidth="1"/>
    <col min="3" max="3" width="16.5703125" style="1" customWidth="1"/>
    <col min="4" max="4" width="19.140625" customWidth="1"/>
    <col min="5" max="5" width="16.140625" customWidth="1"/>
    <col min="6" max="6" width="18.42578125" customWidth="1"/>
    <col min="7" max="7" width="19.42578125" hidden="1" customWidth="1"/>
    <col min="8" max="8" width="14.42578125" customWidth="1"/>
    <col min="9" max="9" width="10.28515625" bestFit="1" customWidth="1"/>
    <col min="10" max="10" width="10.140625" bestFit="1" customWidth="1"/>
    <col min="11" max="11" width="10.28515625" bestFit="1" customWidth="1"/>
    <col min="12" max="13" width="10.140625" bestFit="1" customWidth="1"/>
  </cols>
  <sheetData>
    <row r="1" spans="1:13" ht="32.65" customHeight="1" x14ac:dyDescent="0.2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/>
      <c r="J1" s="10"/>
      <c r="K1" s="10"/>
      <c r="L1" s="10"/>
      <c r="M1" s="10"/>
    </row>
    <row r="2" spans="1:13" hidden="1" x14ac:dyDescent="0.25">
      <c r="A2" s="11" t="s">
        <v>8</v>
      </c>
      <c r="B2" s="11" t="s">
        <v>9</v>
      </c>
      <c r="C2" s="12" t="s">
        <v>10</v>
      </c>
      <c r="D2" s="11"/>
      <c r="E2" s="13">
        <v>44862</v>
      </c>
      <c r="F2" s="11"/>
      <c r="G2" s="14">
        <v>44854</v>
      </c>
      <c r="H2" s="11"/>
      <c r="I2">
        <v>8200</v>
      </c>
    </row>
    <row r="3" spans="1:13" hidden="1" x14ac:dyDescent="0.25">
      <c r="A3" s="15" t="s">
        <v>11</v>
      </c>
      <c r="B3" s="16" t="s">
        <v>12</v>
      </c>
      <c r="C3" s="17" t="s">
        <v>10</v>
      </c>
      <c r="D3" s="16"/>
      <c r="E3" s="18" t="s">
        <v>13</v>
      </c>
      <c r="F3" s="19"/>
      <c r="G3" s="20" t="s">
        <v>14</v>
      </c>
      <c r="H3" s="16" t="s">
        <v>14</v>
      </c>
      <c r="I3" s="21">
        <v>55000</v>
      </c>
    </row>
    <row r="4" spans="1:13" hidden="1" x14ac:dyDescent="0.25">
      <c r="A4" s="22" t="s">
        <v>11</v>
      </c>
      <c r="B4" s="23" t="s">
        <v>15</v>
      </c>
      <c r="C4" s="24" t="s">
        <v>10</v>
      </c>
      <c r="D4" s="23"/>
      <c r="E4" s="18" t="s">
        <v>13</v>
      </c>
      <c r="F4" s="25"/>
      <c r="G4" s="26"/>
      <c r="H4" s="23"/>
      <c r="I4" s="27"/>
    </row>
    <row r="5" spans="1:13" hidden="1" x14ac:dyDescent="0.25"/>
    <row r="6" spans="1:13" hidden="1" x14ac:dyDescent="0.25">
      <c r="A6" s="28" t="s">
        <v>16</v>
      </c>
      <c r="B6" s="28" t="s">
        <v>17</v>
      </c>
      <c r="C6" s="29" t="s">
        <v>10</v>
      </c>
      <c r="D6" s="28"/>
      <c r="E6" s="18" t="s">
        <v>13</v>
      </c>
      <c r="F6" s="30"/>
      <c r="G6" s="31">
        <v>44858</v>
      </c>
      <c r="H6" s="14">
        <v>44858</v>
      </c>
      <c r="I6" s="28">
        <v>11000</v>
      </c>
    </row>
    <row r="7" spans="1:13" s="32" customFormat="1" hidden="1" x14ac:dyDescent="0.25">
      <c r="A7" s="33" t="s">
        <v>18</v>
      </c>
      <c r="B7" s="34" t="s">
        <v>19</v>
      </c>
      <c r="C7" s="17" t="s">
        <v>10</v>
      </c>
      <c r="D7" s="16"/>
      <c r="E7" s="18" t="s">
        <v>13</v>
      </c>
      <c r="F7" s="19"/>
      <c r="G7" s="35">
        <v>44859</v>
      </c>
      <c r="H7" s="19">
        <v>44859</v>
      </c>
      <c r="I7" s="21">
        <v>39000</v>
      </c>
    </row>
    <row r="8" spans="1:13" s="32" customFormat="1" hidden="1" x14ac:dyDescent="0.25">
      <c r="A8" s="36" t="s">
        <v>18</v>
      </c>
      <c r="B8" s="37" t="s">
        <v>20</v>
      </c>
      <c r="C8" s="38" t="s">
        <v>10</v>
      </c>
      <c r="D8" s="39"/>
      <c r="E8" s="18" t="s">
        <v>13</v>
      </c>
      <c r="F8" s="40"/>
      <c r="G8" s="41"/>
      <c r="H8" s="39"/>
      <c r="I8" s="42"/>
    </row>
    <row r="9" spans="1:13" s="32" customFormat="1" hidden="1" x14ac:dyDescent="0.25">
      <c r="A9" s="36" t="s">
        <v>18</v>
      </c>
      <c r="B9" s="37" t="s">
        <v>21</v>
      </c>
      <c r="C9" s="38" t="s">
        <v>10</v>
      </c>
      <c r="D9" s="39"/>
      <c r="E9" s="18" t="s">
        <v>13</v>
      </c>
      <c r="F9" s="40"/>
      <c r="G9" s="41"/>
      <c r="H9" s="39"/>
      <c r="I9" s="42"/>
    </row>
    <row r="10" spans="1:13" s="32" customFormat="1" hidden="1" x14ac:dyDescent="0.25">
      <c r="A10" s="36" t="s">
        <v>18</v>
      </c>
      <c r="B10" s="37" t="s">
        <v>22</v>
      </c>
      <c r="C10" s="38" t="s">
        <v>10</v>
      </c>
      <c r="D10" s="39"/>
      <c r="E10" s="18">
        <v>44861</v>
      </c>
      <c r="F10" s="40"/>
      <c r="G10" s="41"/>
      <c r="H10" s="39"/>
      <c r="I10" s="42"/>
    </row>
    <row r="11" spans="1:13" s="32" customFormat="1" hidden="1" x14ac:dyDescent="0.25">
      <c r="A11" s="43" t="s">
        <v>18</v>
      </c>
      <c r="B11" s="39" t="s">
        <v>23</v>
      </c>
      <c r="C11" s="38" t="s">
        <v>10</v>
      </c>
      <c r="D11" s="38" t="s">
        <v>10</v>
      </c>
      <c r="E11" s="18">
        <v>44861</v>
      </c>
      <c r="F11" s="40"/>
      <c r="G11" s="41"/>
      <c r="H11" s="44">
        <v>44861</v>
      </c>
      <c r="I11" s="42"/>
    </row>
    <row r="12" spans="1:13" s="32" customFormat="1" hidden="1" x14ac:dyDescent="0.25">
      <c r="A12" s="22" t="s">
        <v>18</v>
      </c>
      <c r="B12" s="23" t="s">
        <v>24</v>
      </c>
      <c r="C12" s="24" t="s">
        <v>10</v>
      </c>
      <c r="D12" s="24" t="s">
        <v>10</v>
      </c>
      <c r="E12" s="18">
        <v>44861</v>
      </c>
      <c r="F12" s="25"/>
      <c r="G12" s="26"/>
      <c r="H12" s="44">
        <v>44861</v>
      </c>
      <c r="I12" s="27"/>
    </row>
    <row r="13" spans="1:13" s="32" customFormat="1" hidden="1" x14ac:dyDescent="0.25">
      <c r="A13" s="39" t="s">
        <v>25</v>
      </c>
      <c r="B13" s="39" t="s">
        <v>26</v>
      </c>
      <c r="C13" s="38" t="s">
        <v>10</v>
      </c>
      <c r="D13" s="38" t="s">
        <v>10</v>
      </c>
      <c r="E13" s="18">
        <v>44862</v>
      </c>
      <c r="F13" s="40"/>
      <c r="G13" s="35">
        <v>44860</v>
      </c>
      <c r="H13" s="44">
        <v>44861</v>
      </c>
      <c r="I13" s="32">
        <v>28700</v>
      </c>
    </row>
    <row r="14" spans="1:13" s="32" customFormat="1" hidden="1" x14ac:dyDescent="0.25">
      <c r="A14" s="39" t="s">
        <v>25</v>
      </c>
      <c r="B14" s="39" t="s">
        <v>27</v>
      </c>
      <c r="C14" s="38" t="s">
        <v>10</v>
      </c>
      <c r="D14" s="38" t="s">
        <v>10</v>
      </c>
      <c r="E14" s="18" t="s">
        <v>13</v>
      </c>
      <c r="F14" s="40"/>
      <c r="G14" s="41"/>
      <c r="H14" s="39"/>
    </row>
    <row r="15" spans="1:13" hidden="1" x14ac:dyDescent="0.25">
      <c r="A15" s="15" t="s">
        <v>28</v>
      </c>
      <c r="B15" s="16" t="s">
        <v>29</v>
      </c>
      <c r="C15" s="17" t="s">
        <v>10</v>
      </c>
      <c r="D15" s="17" t="s">
        <v>10</v>
      </c>
      <c r="E15" s="18">
        <v>44861</v>
      </c>
      <c r="F15" s="19"/>
      <c r="G15" s="19">
        <v>44860</v>
      </c>
      <c r="H15" s="44">
        <v>44861</v>
      </c>
      <c r="I15" s="21">
        <v>21100</v>
      </c>
    </row>
    <row r="16" spans="1:13" hidden="1" x14ac:dyDescent="0.25">
      <c r="A16" s="45" t="s">
        <v>28</v>
      </c>
      <c r="B16" s="46" t="s">
        <v>30</v>
      </c>
      <c r="C16" s="47" t="s">
        <v>10</v>
      </c>
      <c r="D16" s="47" t="s">
        <v>10</v>
      </c>
      <c r="E16" s="18">
        <v>44861</v>
      </c>
      <c r="F16" s="48"/>
      <c r="G16" s="49">
        <v>44860</v>
      </c>
      <c r="H16" s="46"/>
      <c r="I16" s="27"/>
    </row>
    <row r="17" spans="1:14" hidden="1" x14ac:dyDescent="0.25">
      <c r="A17" s="50" t="s">
        <v>31</v>
      </c>
      <c r="B17" s="50" t="s">
        <v>32</v>
      </c>
      <c r="C17" s="51" t="s">
        <v>10</v>
      </c>
      <c r="D17" s="51" t="s">
        <v>10</v>
      </c>
      <c r="E17" s="18">
        <v>44865</v>
      </c>
      <c r="F17" s="52"/>
      <c r="G17" s="53">
        <v>44861</v>
      </c>
      <c r="H17" s="54">
        <v>44865</v>
      </c>
      <c r="I17" s="55"/>
      <c r="J17" s="32"/>
      <c r="K17" s="32"/>
      <c r="L17" s="32"/>
      <c r="M17" s="32"/>
      <c r="N17" s="32"/>
    </row>
    <row r="18" spans="1:14" hidden="1" x14ac:dyDescent="0.25">
      <c r="A18" s="11" t="s">
        <v>31</v>
      </c>
      <c r="B18" s="11" t="s">
        <v>33</v>
      </c>
      <c r="C18" s="12" t="s">
        <v>10</v>
      </c>
      <c r="D18" s="12" t="s">
        <v>10</v>
      </c>
      <c r="E18" s="18">
        <v>44865</v>
      </c>
      <c r="F18" s="14"/>
      <c r="G18" s="56">
        <v>44861</v>
      </c>
      <c r="H18" s="57">
        <v>44865</v>
      </c>
      <c r="I18" s="11"/>
      <c r="J18" s="32"/>
      <c r="K18" s="32"/>
      <c r="L18" s="32"/>
      <c r="M18" s="32"/>
      <c r="N18" s="32"/>
    </row>
    <row r="19" spans="1:14" s="32" customFormat="1" hidden="1" x14ac:dyDescent="0.25">
      <c r="A19" s="58" t="s">
        <v>34</v>
      </c>
      <c r="B19" s="50" t="s">
        <v>35</v>
      </c>
      <c r="C19" s="51" t="s">
        <v>10</v>
      </c>
      <c r="D19" s="51" t="s">
        <v>10</v>
      </c>
      <c r="E19" s="18">
        <v>44862</v>
      </c>
      <c r="F19" s="52"/>
      <c r="G19" s="53">
        <v>44862</v>
      </c>
      <c r="H19" s="54">
        <v>44862</v>
      </c>
      <c r="I19" s="32">
        <v>6100</v>
      </c>
    </row>
    <row r="20" spans="1:14" hidden="1" x14ac:dyDescent="0.25">
      <c r="A20" s="59" t="s">
        <v>36</v>
      </c>
      <c r="B20" s="60" t="s">
        <v>37</v>
      </c>
      <c r="C20" s="61" t="s">
        <v>10</v>
      </c>
      <c r="D20" s="61"/>
      <c r="E20" s="25"/>
      <c r="F20" s="49"/>
      <c r="G20" s="62" t="s">
        <v>38</v>
      </c>
      <c r="H20" s="63" t="s">
        <v>39</v>
      </c>
      <c r="I20" s="64">
        <v>42700</v>
      </c>
    </row>
    <row r="21" spans="1:14" x14ac:dyDescent="0.25">
      <c r="A21" s="39"/>
      <c r="B21" s="39"/>
      <c r="C21" s="38"/>
      <c r="D21" s="38"/>
      <c r="E21" s="40"/>
      <c r="F21" s="40"/>
      <c r="G21" s="41"/>
      <c r="H21" s="39"/>
      <c r="I21" s="32"/>
    </row>
    <row r="22" spans="1:14" s="32" customFormat="1" ht="20.25" customHeight="1" x14ac:dyDescent="0.3">
      <c r="A22" s="39"/>
      <c r="B22" s="65" t="s">
        <v>40</v>
      </c>
      <c r="C22" s="38"/>
      <c r="D22" s="38"/>
      <c r="E22" s="40"/>
      <c r="F22" s="40"/>
      <c r="G22" s="41"/>
      <c r="H22" s="39"/>
    </row>
    <row r="23" spans="1:14" s="32" customFormat="1" x14ac:dyDescent="0.25">
      <c r="A23" s="23"/>
      <c r="B23" s="23"/>
      <c r="C23" s="24"/>
      <c r="D23" s="24"/>
      <c r="E23" s="25"/>
      <c r="F23" s="66"/>
      <c r="G23" s="26"/>
      <c r="H23" s="23"/>
      <c r="I23" s="67"/>
    </row>
    <row r="24" spans="1:14" s="32" customFormat="1" hidden="1" x14ac:dyDescent="0.25">
      <c r="A24" s="39" t="s">
        <v>41</v>
      </c>
      <c r="B24" s="39" t="s">
        <v>42</v>
      </c>
      <c r="C24" s="38" t="s">
        <v>10</v>
      </c>
      <c r="D24" s="38" t="s">
        <v>10</v>
      </c>
      <c r="E24" s="40"/>
      <c r="F24" s="39"/>
      <c r="G24" s="41"/>
      <c r="H24" s="40">
        <v>44866</v>
      </c>
      <c r="I24" s="32">
        <v>20700</v>
      </c>
    </row>
    <row r="25" spans="1:14" s="32" customFormat="1" hidden="1" x14ac:dyDescent="0.25">
      <c r="A25" s="39" t="s">
        <v>43</v>
      </c>
      <c r="B25" s="39" t="s">
        <v>44</v>
      </c>
      <c r="C25" s="38" t="s">
        <v>10</v>
      </c>
      <c r="D25" s="38" t="s">
        <v>10</v>
      </c>
      <c r="E25" s="40"/>
      <c r="F25" s="11"/>
      <c r="G25" s="41"/>
      <c r="H25" s="40">
        <v>44866</v>
      </c>
      <c r="I25" s="32">
        <v>5000</v>
      </c>
    </row>
    <row r="26" spans="1:14" s="32" customFormat="1" hidden="1" x14ac:dyDescent="0.25">
      <c r="A26" s="50" t="s">
        <v>45</v>
      </c>
      <c r="B26" s="50" t="s">
        <v>46</v>
      </c>
      <c r="C26" s="51" t="s">
        <v>10</v>
      </c>
      <c r="D26" s="51" t="s">
        <v>10</v>
      </c>
      <c r="E26" s="52"/>
      <c r="F26" s="28"/>
      <c r="G26" s="68"/>
      <c r="H26" s="52">
        <v>44866</v>
      </c>
      <c r="I26" s="32">
        <v>9600</v>
      </c>
    </row>
    <row r="27" spans="1:14" s="32" customFormat="1" hidden="1" x14ac:dyDescent="0.25">
      <c r="A27" s="15" t="s">
        <v>47</v>
      </c>
      <c r="B27" s="16" t="s">
        <v>48</v>
      </c>
      <c r="C27" s="17" t="s">
        <v>10</v>
      </c>
      <c r="D27" s="17" t="s">
        <v>10</v>
      </c>
      <c r="E27" s="19"/>
      <c r="F27" s="16"/>
      <c r="G27" s="20"/>
      <c r="H27" s="19" t="s">
        <v>39</v>
      </c>
      <c r="I27" s="21">
        <v>36100</v>
      </c>
    </row>
    <row r="28" spans="1:14" s="32" customFormat="1" hidden="1" x14ac:dyDescent="0.25">
      <c r="A28" s="43"/>
      <c r="B28" s="39" t="s">
        <v>49</v>
      </c>
      <c r="C28" s="38" t="s">
        <v>10</v>
      </c>
      <c r="D28" s="38"/>
      <c r="E28" s="40"/>
      <c r="F28" s="14"/>
      <c r="G28" s="41"/>
      <c r="H28" s="39"/>
      <c r="I28" s="42"/>
    </row>
    <row r="29" spans="1:14" s="32" customFormat="1" hidden="1" x14ac:dyDescent="0.25">
      <c r="A29" s="43"/>
      <c r="B29" s="39" t="s">
        <v>50</v>
      </c>
      <c r="C29" s="38" t="s">
        <v>10</v>
      </c>
      <c r="D29" s="38"/>
      <c r="E29" s="40"/>
      <c r="F29" s="40"/>
      <c r="G29" s="41"/>
      <c r="H29" s="39"/>
      <c r="I29" s="42"/>
    </row>
    <row r="30" spans="1:14" s="32" customFormat="1" hidden="1" x14ac:dyDescent="0.25">
      <c r="A30" s="43"/>
      <c r="B30" s="39" t="s">
        <v>51</v>
      </c>
      <c r="C30" s="38" t="s">
        <v>10</v>
      </c>
      <c r="D30" s="38" t="s">
        <v>10</v>
      </c>
      <c r="E30" s="40"/>
      <c r="F30" s="40"/>
      <c r="G30" s="41"/>
      <c r="H30" s="39"/>
      <c r="I30" s="42"/>
    </row>
    <row r="31" spans="1:14" s="32" customFormat="1" hidden="1" x14ac:dyDescent="0.25">
      <c r="A31" s="22"/>
      <c r="B31" s="23" t="s">
        <v>52</v>
      </c>
      <c r="C31" s="24" t="s">
        <v>10</v>
      </c>
      <c r="D31" s="23"/>
      <c r="E31" s="25"/>
      <c r="F31" s="25"/>
      <c r="G31" s="26"/>
      <c r="H31" s="23"/>
      <c r="I31" s="27"/>
    </row>
    <row r="32" spans="1:14" s="32" customFormat="1" hidden="1" x14ac:dyDescent="0.25">
      <c r="A32" s="59" t="s">
        <v>53</v>
      </c>
      <c r="B32" s="60" t="s">
        <v>54</v>
      </c>
      <c r="C32" s="61" t="s">
        <v>10</v>
      </c>
      <c r="D32" s="60"/>
      <c r="E32" s="49"/>
      <c r="F32" s="49"/>
      <c r="G32" s="69" t="s">
        <v>55</v>
      </c>
      <c r="H32" s="49">
        <v>44868</v>
      </c>
      <c r="I32" s="64">
        <v>23900</v>
      </c>
    </row>
    <row r="33" spans="1:11" s="32" customFormat="1" x14ac:dyDescent="0.25">
      <c r="A33" s="15" t="s">
        <v>56</v>
      </c>
      <c r="B33" s="70" t="s">
        <v>57</v>
      </c>
      <c r="C33" s="71" t="s">
        <v>10</v>
      </c>
      <c r="D33" s="11" t="s">
        <v>58</v>
      </c>
      <c r="E33" s="71" t="s">
        <v>10</v>
      </c>
      <c r="F33" s="14"/>
      <c r="G33" s="72"/>
      <c r="H33" s="73">
        <v>44887</v>
      </c>
      <c r="I33" s="42">
        <v>222100</v>
      </c>
    </row>
    <row r="34" spans="1:11" s="32" customFormat="1" x14ac:dyDescent="0.25">
      <c r="A34" s="74"/>
      <c r="B34" s="28" t="s">
        <v>59</v>
      </c>
      <c r="C34" s="75" t="s">
        <v>10</v>
      </c>
      <c r="D34" s="29" t="s">
        <v>60</v>
      </c>
      <c r="E34" s="75" t="s">
        <v>10</v>
      </c>
      <c r="F34" s="30"/>
      <c r="G34" s="76"/>
      <c r="H34" s="73">
        <v>44887</v>
      </c>
      <c r="I34" s="42"/>
    </row>
    <row r="35" spans="1:11" s="32" customFormat="1" hidden="1" x14ac:dyDescent="0.25">
      <c r="A35" s="59" t="s">
        <v>61</v>
      </c>
      <c r="B35" s="60" t="s">
        <v>62</v>
      </c>
      <c r="C35" s="77" t="s">
        <v>10</v>
      </c>
      <c r="D35" s="61" t="s">
        <v>10</v>
      </c>
      <c r="E35" s="77" t="s">
        <v>10</v>
      </c>
      <c r="F35" s="49"/>
      <c r="G35" s="69"/>
      <c r="H35" s="78">
        <v>44887</v>
      </c>
      <c r="I35" s="64">
        <v>12200</v>
      </c>
    </row>
    <row r="36" spans="1:11" s="32" customFormat="1" hidden="1" x14ac:dyDescent="0.25">
      <c r="A36" s="50"/>
      <c r="B36" s="50"/>
      <c r="C36" s="51"/>
      <c r="D36" s="50"/>
      <c r="E36" s="66"/>
      <c r="F36" s="52"/>
      <c r="G36" s="68"/>
      <c r="H36" s="50"/>
    </row>
    <row r="37" spans="1:11" s="32" customFormat="1" hidden="1" x14ac:dyDescent="0.25">
      <c r="A37" s="15" t="s">
        <v>63</v>
      </c>
      <c r="B37" s="16" t="s">
        <v>64</v>
      </c>
      <c r="C37" s="79" t="s">
        <v>10</v>
      </c>
      <c r="D37" s="17" t="s">
        <v>10</v>
      </c>
      <c r="E37" s="80" t="s">
        <v>10</v>
      </c>
      <c r="F37" s="19">
        <v>44893</v>
      </c>
      <c r="G37" s="20"/>
      <c r="H37" s="81" t="s">
        <v>65</v>
      </c>
      <c r="I37" s="82">
        <v>68200</v>
      </c>
    </row>
    <row r="38" spans="1:11" s="32" customFormat="1" hidden="1" x14ac:dyDescent="0.25">
      <c r="A38" s="83"/>
      <c r="B38" s="11" t="s">
        <v>66</v>
      </c>
      <c r="C38" s="71" t="s">
        <v>10</v>
      </c>
      <c r="D38" s="12" t="s">
        <v>10</v>
      </c>
      <c r="E38" s="71" t="s">
        <v>10</v>
      </c>
      <c r="F38" s="14"/>
      <c r="G38" s="72"/>
      <c r="H38" s="84" t="s">
        <v>65</v>
      </c>
      <c r="I38" s="85"/>
    </row>
    <row r="39" spans="1:11" s="32" customFormat="1" hidden="1" x14ac:dyDescent="0.25">
      <c r="A39" s="45"/>
      <c r="B39" s="46" t="s">
        <v>67</v>
      </c>
      <c r="C39" s="86" t="s">
        <v>10</v>
      </c>
      <c r="D39" s="47" t="s">
        <v>10</v>
      </c>
      <c r="E39" s="87" t="s">
        <v>10</v>
      </c>
      <c r="F39" s="48"/>
      <c r="G39" s="88"/>
      <c r="H39" s="89" t="s">
        <v>65</v>
      </c>
      <c r="I39" s="90"/>
    </row>
    <row r="40" spans="1:11" s="32" customFormat="1" x14ac:dyDescent="0.25">
      <c r="A40" s="50"/>
      <c r="B40" s="50"/>
      <c r="C40" s="51"/>
      <c r="D40" s="50"/>
      <c r="E40" s="66"/>
      <c r="F40" s="52"/>
      <c r="G40" s="68"/>
      <c r="H40" s="50"/>
    </row>
    <row r="41" spans="1:11" s="32" customFormat="1" ht="18" customHeight="1" x14ac:dyDescent="0.25">
      <c r="A41" s="15" t="s">
        <v>68</v>
      </c>
      <c r="B41" s="91" t="s">
        <v>69</v>
      </c>
      <c r="C41" s="79" t="s">
        <v>10</v>
      </c>
      <c r="D41" s="17" t="s">
        <v>10</v>
      </c>
      <c r="E41" s="80" t="s">
        <v>10</v>
      </c>
      <c r="F41" s="19">
        <v>44894</v>
      </c>
      <c r="G41" s="20"/>
      <c r="H41" s="92" t="s">
        <v>70</v>
      </c>
      <c r="I41" s="82">
        <v>105700</v>
      </c>
    </row>
    <row r="42" spans="1:11" s="32" customFormat="1" ht="30" x14ac:dyDescent="0.25">
      <c r="A42" s="83"/>
      <c r="B42" s="93" t="s">
        <v>71</v>
      </c>
      <c r="C42" s="71" t="s">
        <v>10</v>
      </c>
      <c r="D42" s="12" t="s">
        <v>10</v>
      </c>
      <c r="E42" s="94" t="s">
        <v>10</v>
      </c>
      <c r="F42" s="14"/>
      <c r="G42" s="72"/>
      <c r="H42" s="95" t="s">
        <v>70</v>
      </c>
      <c r="I42" s="85"/>
    </row>
    <row r="43" spans="1:11" s="32" customFormat="1" ht="30" x14ac:dyDescent="0.25">
      <c r="A43" s="83"/>
      <c r="B43" s="93" t="s">
        <v>72</v>
      </c>
      <c r="C43" s="71" t="s">
        <v>10</v>
      </c>
      <c r="D43" s="12" t="s">
        <v>10</v>
      </c>
      <c r="E43" s="94" t="s">
        <v>10</v>
      </c>
      <c r="F43" s="14"/>
      <c r="G43" s="72"/>
      <c r="H43" s="95" t="s">
        <v>70</v>
      </c>
      <c r="I43" s="85"/>
    </row>
    <row r="44" spans="1:11" s="32" customFormat="1" ht="30" x14ac:dyDescent="0.25">
      <c r="A44" s="83"/>
      <c r="B44" s="93" t="s">
        <v>73</v>
      </c>
      <c r="C44" s="71" t="s">
        <v>10</v>
      </c>
      <c r="D44" s="12" t="s">
        <v>10</v>
      </c>
      <c r="E44" s="94" t="s">
        <v>10</v>
      </c>
      <c r="F44" s="14"/>
      <c r="G44" s="72"/>
      <c r="H44" s="95" t="s">
        <v>70</v>
      </c>
      <c r="I44" s="85"/>
    </row>
    <row r="45" spans="1:11" s="32" customFormat="1" ht="32.65" customHeight="1" x14ac:dyDescent="0.25">
      <c r="A45" s="45"/>
      <c r="B45" s="96" t="s">
        <v>74</v>
      </c>
      <c r="C45" s="86" t="s">
        <v>10</v>
      </c>
      <c r="D45" s="47" t="s">
        <v>10</v>
      </c>
      <c r="E45" s="94" t="s">
        <v>10</v>
      </c>
      <c r="F45" s="48"/>
      <c r="G45" s="88"/>
      <c r="H45" s="97" t="s">
        <v>70</v>
      </c>
      <c r="I45" s="90"/>
      <c r="K45" s="98">
        <f>SUM(I33:I45)</f>
        <v>408200</v>
      </c>
    </row>
    <row r="46" spans="1:11" s="32" customFormat="1" x14ac:dyDescent="0.25">
      <c r="A46" s="50"/>
      <c r="B46" s="50"/>
      <c r="C46" s="51"/>
      <c r="D46" s="51"/>
      <c r="E46" s="66"/>
      <c r="F46" s="52"/>
      <c r="G46" s="68"/>
      <c r="H46" s="50"/>
    </row>
    <row r="47" spans="1:11" s="32" customFormat="1" x14ac:dyDescent="0.25">
      <c r="A47" s="15" t="s">
        <v>75</v>
      </c>
      <c r="B47" s="16" t="s">
        <v>76</v>
      </c>
      <c r="C47" s="79" t="s">
        <v>10</v>
      </c>
      <c r="D47" s="17" t="s">
        <v>10</v>
      </c>
      <c r="E47" s="80" t="s">
        <v>77</v>
      </c>
      <c r="F47" s="19">
        <v>44909</v>
      </c>
      <c r="G47" s="20"/>
      <c r="H47" s="81">
        <v>44895</v>
      </c>
      <c r="I47" s="82">
        <v>322000</v>
      </c>
    </row>
    <row r="48" spans="1:11" s="32" customFormat="1" x14ac:dyDescent="0.25">
      <c r="A48" s="83"/>
      <c r="B48" s="11" t="s">
        <v>78</v>
      </c>
      <c r="C48" s="71" t="s">
        <v>10</v>
      </c>
      <c r="D48" s="12" t="s">
        <v>10</v>
      </c>
      <c r="E48" s="94" t="s">
        <v>77</v>
      </c>
      <c r="F48" s="14"/>
      <c r="G48" s="72"/>
      <c r="H48" s="84">
        <v>44895</v>
      </c>
      <c r="I48" s="85"/>
    </row>
    <row r="49" spans="1:9" s="32" customFormat="1" x14ac:dyDescent="0.25">
      <c r="A49" s="83"/>
      <c r="B49" s="11" t="s">
        <v>79</v>
      </c>
      <c r="C49" s="71" t="s">
        <v>10</v>
      </c>
      <c r="D49" s="12" t="s">
        <v>10</v>
      </c>
      <c r="E49" s="99" t="s">
        <v>80</v>
      </c>
      <c r="F49" s="14"/>
      <c r="G49" s="72"/>
      <c r="H49" s="84">
        <v>44895</v>
      </c>
      <c r="I49" s="85"/>
    </row>
    <row r="50" spans="1:9" s="32" customFormat="1" x14ac:dyDescent="0.25">
      <c r="A50" s="83"/>
      <c r="B50" s="11" t="s">
        <v>81</v>
      </c>
      <c r="C50" s="71" t="s">
        <v>10</v>
      </c>
      <c r="D50" s="12" t="s">
        <v>10</v>
      </c>
      <c r="E50" s="99" t="s">
        <v>80</v>
      </c>
      <c r="F50" s="14"/>
      <c r="G50" s="72"/>
      <c r="H50" s="84">
        <v>44895</v>
      </c>
      <c r="I50" s="85"/>
    </row>
    <row r="51" spans="1:9" s="32" customFormat="1" x14ac:dyDescent="0.25">
      <c r="A51" s="83"/>
      <c r="B51" s="11" t="s">
        <v>82</v>
      </c>
      <c r="C51" s="71" t="s">
        <v>10</v>
      </c>
      <c r="D51" s="12" t="s">
        <v>10</v>
      </c>
      <c r="E51" s="99" t="s">
        <v>80</v>
      </c>
      <c r="F51" s="14"/>
      <c r="G51" s="72"/>
      <c r="H51" s="84">
        <v>44895</v>
      </c>
      <c r="I51" s="85"/>
    </row>
    <row r="52" spans="1:9" s="32" customFormat="1" x14ac:dyDescent="0.25">
      <c r="A52" s="83"/>
      <c r="B52" s="11" t="s">
        <v>83</v>
      </c>
      <c r="C52" s="71">
        <v>44890</v>
      </c>
      <c r="D52" s="12"/>
      <c r="E52" s="14"/>
      <c r="F52" s="14"/>
      <c r="G52" s="72"/>
      <c r="H52" s="14">
        <v>44902</v>
      </c>
      <c r="I52" s="85"/>
    </row>
    <row r="53" spans="1:9" s="32" customFormat="1" x14ac:dyDescent="0.25">
      <c r="A53" s="83"/>
      <c r="B53" s="11" t="s">
        <v>84</v>
      </c>
      <c r="C53" s="71" t="s">
        <v>10</v>
      </c>
      <c r="D53" s="12" t="s">
        <v>10</v>
      </c>
      <c r="E53" s="99" t="s">
        <v>80</v>
      </c>
      <c r="F53" s="14"/>
      <c r="G53" s="72"/>
      <c r="H53" s="100">
        <v>44895</v>
      </c>
      <c r="I53" s="85"/>
    </row>
    <row r="54" spans="1:9" s="32" customFormat="1" x14ac:dyDescent="0.25">
      <c r="A54" s="83"/>
      <c r="B54" s="11" t="s">
        <v>85</v>
      </c>
      <c r="C54" s="71" t="s">
        <v>10</v>
      </c>
      <c r="D54" s="11"/>
      <c r="E54" s="71" t="s">
        <v>86</v>
      </c>
      <c r="F54" s="14"/>
      <c r="G54" s="72"/>
      <c r="H54" s="100" t="s">
        <v>87</v>
      </c>
      <c r="I54" s="85"/>
    </row>
    <row r="55" spans="1:9" s="32" customFormat="1" x14ac:dyDescent="0.25">
      <c r="A55" s="83"/>
      <c r="B55" s="11" t="s">
        <v>88</v>
      </c>
      <c r="C55" s="71" t="s">
        <v>10</v>
      </c>
      <c r="D55" s="11"/>
      <c r="E55" s="71" t="s">
        <v>86</v>
      </c>
      <c r="F55" s="14"/>
      <c r="G55" s="72"/>
      <c r="H55" s="100" t="s">
        <v>87</v>
      </c>
      <c r="I55" s="85"/>
    </row>
    <row r="56" spans="1:9" s="32" customFormat="1" x14ac:dyDescent="0.25">
      <c r="A56" s="83"/>
      <c r="B56" s="11" t="s">
        <v>89</v>
      </c>
      <c r="C56" s="71" t="s">
        <v>10</v>
      </c>
      <c r="D56" s="11"/>
      <c r="E56" s="71" t="s">
        <v>90</v>
      </c>
      <c r="F56" s="14"/>
      <c r="G56" s="72"/>
      <c r="H56" s="100" t="s">
        <v>87</v>
      </c>
      <c r="I56" s="85"/>
    </row>
    <row r="57" spans="1:9" s="32" customFormat="1" x14ac:dyDescent="0.25">
      <c r="A57" s="83"/>
      <c r="B57" s="11" t="s">
        <v>91</v>
      </c>
      <c r="C57" s="71" t="s">
        <v>10</v>
      </c>
      <c r="D57" s="11"/>
      <c r="E57" s="71" t="s">
        <v>90</v>
      </c>
      <c r="F57" s="14"/>
      <c r="G57" s="72"/>
      <c r="H57" s="100" t="s">
        <v>87</v>
      </c>
      <c r="I57" s="85"/>
    </row>
    <row r="58" spans="1:9" s="32" customFormat="1" x14ac:dyDescent="0.25">
      <c r="A58" s="83"/>
      <c r="B58" s="11" t="s">
        <v>92</v>
      </c>
      <c r="C58" s="71" t="s">
        <v>10</v>
      </c>
      <c r="D58" s="11"/>
      <c r="E58" s="14"/>
      <c r="F58" s="14"/>
      <c r="G58" s="72"/>
      <c r="H58" s="100" t="s">
        <v>93</v>
      </c>
      <c r="I58" s="85"/>
    </row>
    <row r="59" spans="1:9" s="32" customFormat="1" x14ac:dyDescent="0.25">
      <c r="A59" s="45"/>
      <c r="B59" s="46" t="s">
        <v>94</v>
      </c>
      <c r="C59" s="86" t="s">
        <v>10</v>
      </c>
      <c r="D59" s="46"/>
      <c r="E59" s="48"/>
      <c r="F59" s="48"/>
      <c r="G59" s="88"/>
      <c r="H59" s="101" t="s">
        <v>93</v>
      </c>
      <c r="I59" s="90"/>
    </row>
    <row r="60" spans="1:9" s="32" customFormat="1" x14ac:dyDescent="0.25">
      <c r="A60" s="50"/>
      <c r="B60" s="50"/>
      <c r="C60" s="51"/>
      <c r="D60" s="50"/>
      <c r="E60" s="52"/>
      <c r="F60" s="52"/>
      <c r="G60" s="68"/>
      <c r="H60" s="50"/>
    </row>
    <row r="61" spans="1:9" s="32" customFormat="1" ht="19.5" x14ac:dyDescent="0.3">
      <c r="A61" s="58"/>
      <c r="B61" s="102" t="s">
        <v>95</v>
      </c>
      <c r="C61" s="51"/>
      <c r="D61" s="50"/>
      <c r="E61" s="52"/>
      <c r="F61" s="52"/>
      <c r="G61" s="68"/>
      <c r="H61" s="50"/>
    </row>
    <row r="62" spans="1:9" s="32" customFormat="1" ht="19.5" x14ac:dyDescent="0.3">
      <c r="A62" s="58"/>
      <c r="B62" s="102"/>
      <c r="C62" s="51"/>
      <c r="D62" s="50"/>
      <c r="E62" s="52"/>
      <c r="F62" s="52"/>
      <c r="G62" s="68"/>
      <c r="H62" s="50"/>
    </row>
    <row r="63" spans="1:9" s="32" customFormat="1" x14ac:dyDescent="0.25">
      <c r="A63" s="59" t="s">
        <v>96</v>
      </c>
      <c r="B63" s="103" t="s">
        <v>97</v>
      </c>
      <c r="C63" s="77">
        <v>44893</v>
      </c>
      <c r="D63" s="60"/>
      <c r="E63" s="49">
        <v>44896</v>
      </c>
      <c r="F63" s="49">
        <v>44896</v>
      </c>
      <c r="G63" s="69"/>
      <c r="H63" s="104">
        <v>44895</v>
      </c>
      <c r="I63" s="64">
        <v>10000</v>
      </c>
    </row>
    <row r="64" spans="1:9" s="32" customFormat="1" ht="19.5" x14ac:dyDescent="0.3">
      <c r="A64" s="58"/>
      <c r="B64" s="102"/>
      <c r="C64" s="51"/>
      <c r="D64" s="50"/>
      <c r="E64" s="52"/>
      <c r="F64" s="52"/>
      <c r="G64" s="68"/>
      <c r="H64" s="50"/>
    </row>
    <row r="65" spans="1:9" s="32" customFormat="1" x14ac:dyDescent="0.25">
      <c r="A65" s="15" t="s">
        <v>98</v>
      </c>
      <c r="B65" s="16" t="s">
        <v>99</v>
      </c>
      <c r="C65" s="79">
        <v>44890</v>
      </c>
      <c r="D65" s="16"/>
      <c r="E65" s="105" t="s">
        <v>100</v>
      </c>
      <c r="F65" s="19">
        <v>44909</v>
      </c>
      <c r="G65" s="20"/>
      <c r="H65" s="106" t="s">
        <v>101</v>
      </c>
      <c r="I65" s="21">
        <v>71300</v>
      </c>
    </row>
    <row r="66" spans="1:9" s="32" customFormat="1" x14ac:dyDescent="0.25">
      <c r="A66" s="43"/>
      <c r="B66" s="39" t="s">
        <v>102</v>
      </c>
      <c r="C66" s="80">
        <v>44893</v>
      </c>
      <c r="D66" s="39"/>
      <c r="E66" s="107" t="s">
        <v>100</v>
      </c>
      <c r="F66" s="40"/>
      <c r="G66" s="41"/>
      <c r="H66" s="108" t="s">
        <v>101</v>
      </c>
      <c r="I66" s="42"/>
    </row>
    <row r="67" spans="1:9" s="32" customFormat="1" x14ac:dyDescent="0.25">
      <c r="A67" s="22"/>
      <c r="B67" s="23" t="s">
        <v>103</v>
      </c>
      <c r="C67" s="109">
        <v>44894</v>
      </c>
      <c r="D67" s="23"/>
      <c r="E67" s="110" t="s">
        <v>100</v>
      </c>
      <c r="F67" s="25"/>
      <c r="G67" s="26"/>
      <c r="H67" s="111" t="s">
        <v>101</v>
      </c>
      <c r="I67" s="27"/>
    </row>
    <row r="68" spans="1:9" s="32" customFormat="1" ht="19.5" x14ac:dyDescent="0.3">
      <c r="A68" s="58"/>
      <c r="B68" s="102"/>
      <c r="C68" s="51"/>
      <c r="D68" s="50"/>
      <c r="E68" s="52"/>
      <c r="F68" s="52"/>
      <c r="G68" s="68"/>
      <c r="H68" s="50"/>
    </row>
    <row r="69" spans="1:9" s="32" customFormat="1" x14ac:dyDescent="0.25">
      <c r="A69" s="59" t="s">
        <v>104</v>
      </c>
      <c r="B69" s="60" t="s">
        <v>105</v>
      </c>
      <c r="C69" s="77">
        <v>44895</v>
      </c>
      <c r="D69" s="60"/>
      <c r="E69" s="49" t="s">
        <v>106</v>
      </c>
      <c r="F69" s="49">
        <v>44904</v>
      </c>
      <c r="G69" s="69"/>
      <c r="H69" s="104" t="s">
        <v>107</v>
      </c>
      <c r="I69" s="64">
        <v>22800</v>
      </c>
    </row>
    <row r="70" spans="1:9" s="32" customFormat="1" ht="19.5" x14ac:dyDescent="0.3">
      <c r="A70" s="58"/>
      <c r="B70" s="102"/>
      <c r="C70" s="51"/>
      <c r="D70" s="50"/>
      <c r="E70" s="52"/>
      <c r="F70" s="52"/>
      <c r="G70" s="68"/>
      <c r="H70" s="50"/>
    </row>
    <row r="71" spans="1:9" s="32" customFormat="1" x14ac:dyDescent="0.25">
      <c r="A71" s="59" t="s">
        <v>108</v>
      </c>
      <c r="B71" s="103" t="s">
        <v>109</v>
      </c>
      <c r="C71" s="77">
        <v>44897</v>
      </c>
      <c r="D71" s="60"/>
      <c r="E71" s="49" t="s">
        <v>110</v>
      </c>
      <c r="F71" s="49">
        <v>44908</v>
      </c>
      <c r="G71" s="69"/>
      <c r="H71" s="112">
        <v>44904</v>
      </c>
      <c r="I71" s="64">
        <v>11500</v>
      </c>
    </row>
    <row r="72" spans="1:9" s="32" customFormat="1" x14ac:dyDescent="0.25">
      <c r="A72" s="58"/>
      <c r="B72" s="113"/>
      <c r="C72" s="51"/>
      <c r="D72" s="50"/>
      <c r="E72" s="52"/>
      <c r="F72" s="52"/>
      <c r="G72" s="68"/>
      <c r="H72" s="50"/>
    </row>
    <row r="73" spans="1:9" s="32" customFormat="1" x14ac:dyDescent="0.25">
      <c r="A73" s="15" t="s">
        <v>111</v>
      </c>
      <c r="B73" s="114" t="s">
        <v>112</v>
      </c>
      <c r="C73" s="79">
        <v>44900</v>
      </c>
      <c r="D73" s="16"/>
      <c r="E73" s="115" t="s">
        <v>113</v>
      </c>
      <c r="F73" s="19">
        <v>44909</v>
      </c>
      <c r="G73" s="20"/>
      <c r="H73" s="116">
        <v>44904</v>
      </c>
      <c r="I73" s="82">
        <v>23700</v>
      </c>
    </row>
    <row r="74" spans="1:9" s="32" customFormat="1" x14ac:dyDescent="0.25">
      <c r="A74" s="45"/>
      <c r="B74" s="117" t="s">
        <v>114</v>
      </c>
      <c r="C74" s="86">
        <v>44900</v>
      </c>
      <c r="D74" s="46"/>
      <c r="E74" s="115" t="s">
        <v>113</v>
      </c>
      <c r="F74" s="48"/>
      <c r="G74" s="88"/>
      <c r="H74" s="46"/>
      <c r="I74" s="90"/>
    </row>
    <row r="75" spans="1:9" s="32" customFormat="1" x14ac:dyDescent="0.25">
      <c r="A75" s="58"/>
      <c r="B75" s="113"/>
      <c r="C75" s="51"/>
      <c r="D75" s="50"/>
      <c r="E75" s="52"/>
      <c r="F75" s="52"/>
      <c r="G75" s="68"/>
      <c r="H75" s="50"/>
    </row>
    <row r="76" spans="1:9" s="32" customFormat="1" x14ac:dyDescent="0.25">
      <c r="A76" s="59" t="s">
        <v>115</v>
      </c>
      <c r="B76" s="103" t="s">
        <v>116</v>
      </c>
      <c r="C76" s="77">
        <v>44896</v>
      </c>
      <c r="D76" s="60"/>
      <c r="E76" s="49" t="s">
        <v>117</v>
      </c>
      <c r="F76" s="49">
        <v>44913</v>
      </c>
      <c r="G76" s="69"/>
      <c r="H76" s="104">
        <v>44907</v>
      </c>
      <c r="I76" s="64">
        <v>16000</v>
      </c>
    </row>
    <row r="77" spans="1:9" s="32" customFormat="1" x14ac:dyDescent="0.25">
      <c r="A77" s="58"/>
      <c r="B77" s="113"/>
      <c r="C77" s="51"/>
      <c r="D77" s="50"/>
      <c r="E77" s="52"/>
      <c r="F77" s="52"/>
      <c r="G77" s="68"/>
      <c r="H77" s="50"/>
    </row>
    <row r="78" spans="1:9" s="32" customFormat="1" x14ac:dyDescent="0.25">
      <c r="A78" s="59" t="s">
        <v>118</v>
      </c>
      <c r="B78" s="103" t="s">
        <v>119</v>
      </c>
      <c r="C78" s="77">
        <v>44902</v>
      </c>
      <c r="D78" s="60"/>
      <c r="E78" s="49" t="s">
        <v>120</v>
      </c>
      <c r="F78" s="49">
        <v>44922</v>
      </c>
      <c r="G78" s="69"/>
      <c r="H78" s="112">
        <v>44907</v>
      </c>
      <c r="I78" s="64">
        <v>30000</v>
      </c>
    </row>
    <row r="79" spans="1:9" s="32" customFormat="1" x14ac:dyDescent="0.25"/>
    <row r="80" spans="1:9" s="32" customFormat="1" x14ac:dyDescent="0.25">
      <c r="A80" s="59" t="s">
        <v>121</v>
      </c>
      <c r="B80" s="103" t="s">
        <v>122</v>
      </c>
      <c r="C80" s="77">
        <v>44897</v>
      </c>
      <c r="D80" s="60"/>
      <c r="E80" s="49" t="s">
        <v>123</v>
      </c>
      <c r="F80" s="49">
        <v>44922</v>
      </c>
      <c r="G80" s="69"/>
      <c r="H80" s="104">
        <v>44908</v>
      </c>
      <c r="I80" s="64">
        <v>20600</v>
      </c>
    </row>
    <row r="81" spans="1:9" s="32" customFormat="1" x14ac:dyDescent="0.25">
      <c r="A81" s="58"/>
      <c r="B81" s="113"/>
      <c r="C81" s="51"/>
      <c r="D81" s="50"/>
      <c r="E81" s="52"/>
      <c r="F81" s="52"/>
      <c r="G81" s="68"/>
      <c r="H81" s="50"/>
    </row>
    <row r="82" spans="1:9" s="32" customFormat="1" x14ac:dyDescent="0.25">
      <c r="A82" s="59" t="s">
        <v>124</v>
      </c>
      <c r="B82" s="103" t="s">
        <v>125</v>
      </c>
      <c r="C82" s="77">
        <v>44903</v>
      </c>
      <c r="D82" s="60"/>
      <c r="E82" s="49" t="s">
        <v>126</v>
      </c>
      <c r="F82" s="49">
        <v>44915</v>
      </c>
      <c r="G82" s="69"/>
      <c r="H82" s="104">
        <v>44909</v>
      </c>
      <c r="I82" s="64">
        <v>9300</v>
      </c>
    </row>
    <row r="83" spans="1:9" s="32" customFormat="1" x14ac:dyDescent="0.25">
      <c r="A83" s="58"/>
      <c r="B83" s="118"/>
      <c r="C83" s="51"/>
      <c r="D83" s="50"/>
      <c r="E83" s="52"/>
      <c r="F83" s="52"/>
      <c r="G83" s="68"/>
      <c r="H83" s="119"/>
    </row>
    <row r="84" spans="1:9" s="32" customFormat="1" x14ac:dyDescent="0.25">
      <c r="A84" s="59" t="s">
        <v>127</v>
      </c>
      <c r="B84" s="103" t="s">
        <v>128</v>
      </c>
      <c r="C84" s="61"/>
      <c r="D84" s="60"/>
      <c r="E84" s="49"/>
      <c r="F84" s="49"/>
      <c r="G84" s="69"/>
      <c r="H84" s="112" t="s">
        <v>129</v>
      </c>
      <c r="I84" s="64"/>
    </row>
    <row r="85" spans="1:9" s="32" customFormat="1" x14ac:dyDescent="0.25">
      <c r="A85" s="58"/>
      <c r="B85" s="118"/>
      <c r="C85" s="51"/>
      <c r="D85" s="50"/>
      <c r="E85" s="52"/>
      <c r="F85" s="52"/>
      <c r="G85" s="68"/>
      <c r="H85" s="119"/>
    </row>
    <row r="86" spans="1:9" s="32" customFormat="1" x14ac:dyDescent="0.25">
      <c r="A86" s="15" t="s">
        <v>130</v>
      </c>
      <c r="B86" s="120" t="s">
        <v>131</v>
      </c>
      <c r="C86" s="79">
        <v>44903</v>
      </c>
      <c r="D86" s="16"/>
      <c r="E86" s="121" t="s">
        <v>132</v>
      </c>
      <c r="F86" s="19">
        <v>44924</v>
      </c>
      <c r="G86" s="20"/>
      <c r="H86" s="116">
        <v>44915</v>
      </c>
      <c r="I86" s="82">
        <v>112000</v>
      </c>
    </row>
    <row r="87" spans="1:9" s="32" customFormat="1" x14ac:dyDescent="0.25">
      <c r="A87" s="83"/>
      <c r="B87" s="122" t="s">
        <v>133</v>
      </c>
      <c r="C87" s="71">
        <v>44907</v>
      </c>
      <c r="D87" s="11"/>
      <c r="E87" s="123" t="s">
        <v>132</v>
      </c>
      <c r="F87" s="14"/>
      <c r="G87" s="72"/>
      <c r="H87" s="124">
        <v>44915</v>
      </c>
      <c r="I87" s="85"/>
    </row>
    <row r="88" spans="1:9" s="32" customFormat="1" x14ac:dyDescent="0.25">
      <c r="A88" s="83"/>
      <c r="B88" s="122" t="s">
        <v>134</v>
      </c>
      <c r="C88" s="71">
        <v>44907</v>
      </c>
      <c r="D88" s="11"/>
      <c r="E88" s="123" t="s">
        <v>135</v>
      </c>
      <c r="F88" s="14"/>
      <c r="G88" s="72"/>
      <c r="H88" s="124">
        <v>44916</v>
      </c>
      <c r="I88" s="85"/>
    </row>
    <row r="89" spans="1:9" s="32" customFormat="1" x14ac:dyDescent="0.25">
      <c r="A89" s="83"/>
      <c r="B89" s="122" t="s">
        <v>136</v>
      </c>
      <c r="C89" s="71">
        <v>44908</v>
      </c>
      <c r="D89" s="11"/>
      <c r="E89" s="123" t="s">
        <v>135</v>
      </c>
      <c r="F89" s="14"/>
      <c r="G89" s="72"/>
      <c r="H89" s="124">
        <v>44916</v>
      </c>
      <c r="I89" s="85"/>
    </row>
    <row r="90" spans="1:9" s="32" customFormat="1" x14ac:dyDescent="0.25">
      <c r="A90" s="83"/>
      <c r="B90" s="122" t="s">
        <v>137</v>
      </c>
      <c r="C90" s="71">
        <v>44900</v>
      </c>
      <c r="D90" s="11"/>
      <c r="E90" s="123" t="s">
        <v>138</v>
      </c>
      <c r="F90" s="14"/>
      <c r="G90" s="72"/>
      <c r="H90" s="124">
        <v>44914</v>
      </c>
      <c r="I90" s="85"/>
    </row>
    <row r="91" spans="1:9" s="32" customFormat="1" x14ac:dyDescent="0.25">
      <c r="A91" s="83"/>
      <c r="B91" s="122" t="s">
        <v>139</v>
      </c>
      <c r="C91" s="71">
        <v>44901</v>
      </c>
      <c r="D91" s="11"/>
      <c r="E91" s="123" t="s">
        <v>138</v>
      </c>
      <c r="F91" s="14"/>
      <c r="G91" s="72"/>
      <c r="H91" s="124">
        <v>44914</v>
      </c>
      <c r="I91" s="85"/>
    </row>
    <row r="92" spans="1:9" s="32" customFormat="1" x14ac:dyDescent="0.25">
      <c r="A92" s="83"/>
      <c r="B92" s="122" t="s">
        <v>140</v>
      </c>
      <c r="C92" s="71">
        <v>44901</v>
      </c>
      <c r="D92" s="11"/>
      <c r="E92" s="123" t="s">
        <v>138</v>
      </c>
      <c r="F92" s="14"/>
      <c r="G92" s="72"/>
      <c r="H92" s="124">
        <v>44914</v>
      </c>
      <c r="I92" s="85"/>
    </row>
    <row r="93" spans="1:9" s="32" customFormat="1" x14ac:dyDescent="0.25">
      <c r="A93" s="83"/>
      <c r="B93" s="122" t="s">
        <v>141</v>
      </c>
      <c r="C93" s="71">
        <v>44901</v>
      </c>
      <c r="D93" s="11"/>
      <c r="E93" s="123" t="s">
        <v>138</v>
      </c>
      <c r="F93" s="14"/>
      <c r="G93" s="72"/>
      <c r="H93" s="124">
        <v>44914</v>
      </c>
      <c r="I93" s="85"/>
    </row>
    <row r="94" spans="1:9" s="32" customFormat="1" x14ac:dyDescent="0.25">
      <c r="A94" s="45"/>
      <c r="B94" s="125" t="s">
        <v>142</v>
      </c>
      <c r="C94" s="86">
        <v>44901</v>
      </c>
      <c r="D94" s="126"/>
      <c r="E94" s="127" t="s">
        <v>138</v>
      </c>
      <c r="F94" s="128"/>
      <c r="G94" s="88"/>
      <c r="H94" s="129">
        <v>44914</v>
      </c>
      <c r="I94" s="90"/>
    </row>
    <row r="95" spans="1:9" s="32" customFormat="1" x14ac:dyDescent="0.25">
      <c r="A95" s="58"/>
      <c r="B95" s="113"/>
      <c r="C95" s="51"/>
      <c r="D95" s="50"/>
      <c r="E95" s="52"/>
      <c r="F95" s="52"/>
      <c r="G95" s="68"/>
      <c r="H95" s="50"/>
    </row>
    <row r="96" spans="1:9" s="32" customFormat="1" x14ac:dyDescent="0.25">
      <c r="A96" s="58"/>
      <c r="B96" s="118"/>
      <c r="C96" s="51"/>
      <c r="D96" s="50"/>
      <c r="E96" s="52"/>
      <c r="F96" s="52"/>
      <c r="G96" s="68"/>
      <c r="H96" s="50"/>
    </row>
    <row r="97" spans="1:11" s="32" customFormat="1" ht="30" x14ac:dyDescent="0.25">
      <c r="A97" s="130" t="s">
        <v>143</v>
      </c>
      <c r="B97" s="120" t="s">
        <v>144</v>
      </c>
      <c r="C97" s="79">
        <v>44910</v>
      </c>
      <c r="D97" s="16"/>
      <c r="E97" s="19"/>
      <c r="F97" s="19">
        <v>44921</v>
      </c>
      <c r="G97" s="20"/>
      <c r="H97" s="116">
        <v>44917</v>
      </c>
      <c r="I97" s="82">
        <v>30000</v>
      </c>
    </row>
    <row r="98" spans="1:11" s="32" customFormat="1" ht="30" x14ac:dyDescent="0.25">
      <c r="A98" s="83"/>
      <c r="B98" s="122" t="s">
        <v>145</v>
      </c>
      <c r="C98" s="71">
        <v>44910</v>
      </c>
      <c r="D98" s="11"/>
      <c r="E98" s="14"/>
      <c r="F98" s="14"/>
      <c r="G98" s="72"/>
      <c r="H98" s="14"/>
      <c r="I98" s="85"/>
    </row>
    <row r="99" spans="1:11" s="32" customFormat="1" ht="30" x14ac:dyDescent="0.25">
      <c r="A99" s="83"/>
      <c r="B99" s="122" t="s">
        <v>146</v>
      </c>
      <c r="C99" s="71">
        <v>44910</v>
      </c>
      <c r="D99" s="11"/>
      <c r="E99" s="14"/>
      <c r="F99" s="14"/>
      <c r="G99" s="72"/>
      <c r="H99" s="14"/>
      <c r="I99" s="85"/>
    </row>
    <row r="100" spans="1:11" s="32" customFormat="1" ht="30" x14ac:dyDescent="0.25">
      <c r="A100" s="83"/>
      <c r="B100" s="122" t="s">
        <v>147</v>
      </c>
      <c r="C100" s="71">
        <v>44910</v>
      </c>
      <c r="D100" s="11"/>
      <c r="E100" s="14"/>
      <c r="F100" s="14"/>
      <c r="G100" s="72"/>
      <c r="H100" s="14"/>
      <c r="I100" s="85"/>
    </row>
    <row r="101" spans="1:11" s="32" customFormat="1" ht="30" x14ac:dyDescent="0.25">
      <c r="A101" s="83"/>
      <c r="B101" s="122" t="s">
        <v>148</v>
      </c>
      <c r="C101" s="71">
        <v>44910</v>
      </c>
      <c r="D101" s="11"/>
      <c r="E101" s="14"/>
      <c r="F101" s="14"/>
      <c r="G101" s="72"/>
      <c r="H101" s="11"/>
      <c r="I101" s="85"/>
    </row>
    <row r="102" spans="1:11" s="32" customFormat="1" ht="30" x14ac:dyDescent="0.25">
      <c r="A102" s="83"/>
      <c r="B102" s="122" t="s">
        <v>149</v>
      </c>
      <c r="C102" s="71">
        <v>44910</v>
      </c>
      <c r="D102" s="11"/>
      <c r="E102" s="14"/>
      <c r="F102" s="14"/>
      <c r="G102" s="72"/>
      <c r="H102" s="11"/>
      <c r="I102" s="85"/>
    </row>
    <row r="103" spans="1:11" s="32" customFormat="1" ht="15.75" thickBot="1" x14ac:dyDescent="0.3">
      <c r="A103" s="45"/>
      <c r="B103" s="125" t="s">
        <v>150</v>
      </c>
      <c r="C103" s="47"/>
      <c r="D103" s="46"/>
      <c r="E103" s="48" t="s">
        <v>151</v>
      </c>
      <c r="F103" s="48"/>
      <c r="G103" s="88"/>
      <c r="H103" s="46"/>
      <c r="I103" s="90"/>
      <c r="K103" s="131">
        <f>SUM(I63:I103)</f>
        <v>357200</v>
      </c>
    </row>
    <row r="104" spans="1:11" s="32" customFormat="1" x14ac:dyDescent="0.25">
      <c r="A104" s="58"/>
      <c r="B104" s="139"/>
      <c r="C104" s="51"/>
      <c r="D104" s="50"/>
      <c r="E104" s="52"/>
      <c r="F104" s="52"/>
      <c r="G104" s="68"/>
      <c r="H104" s="50"/>
      <c r="I104" s="136"/>
      <c r="K104" s="140"/>
    </row>
    <row r="105" spans="1:11" s="32" customFormat="1" ht="19.5" x14ac:dyDescent="0.3">
      <c r="A105" s="58"/>
      <c r="B105" s="141" t="s">
        <v>176</v>
      </c>
      <c r="C105" s="51"/>
      <c r="D105" s="50"/>
      <c r="E105" s="52"/>
      <c r="F105" s="52"/>
      <c r="G105" s="68"/>
      <c r="H105" s="50"/>
      <c r="I105" s="136"/>
      <c r="K105" s="140"/>
    </row>
    <row r="106" spans="1:11" s="32" customFormat="1" ht="15.75" thickBot="1" x14ac:dyDescent="0.3">
      <c r="A106" s="58"/>
      <c r="B106" s="132"/>
      <c r="C106" s="51"/>
      <c r="D106" s="50"/>
      <c r="E106" s="52"/>
      <c r="F106" s="52"/>
      <c r="G106" s="68"/>
      <c r="H106" s="50"/>
      <c r="J106" s="136"/>
      <c r="K106" s="136"/>
    </row>
    <row r="107" spans="1:11" s="32" customFormat="1" ht="15.75" thickBot="1" x14ac:dyDescent="0.3">
      <c r="A107" s="59" t="s">
        <v>167</v>
      </c>
      <c r="B107" s="134" t="s">
        <v>168</v>
      </c>
      <c r="C107" s="61"/>
      <c r="D107" s="60"/>
      <c r="E107" s="115"/>
      <c r="F107" s="115">
        <v>44921</v>
      </c>
      <c r="G107" s="69"/>
      <c r="H107" s="60"/>
      <c r="I107" s="135">
        <v>10100</v>
      </c>
      <c r="J107" s="136"/>
      <c r="K107" s="136"/>
    </row>
    <row r="108" spans="1:11" s="32" customFormat="1" ht="15.75" thickBot="1" x14ac:dyDescent="0.3">
      <c r="A108" s="58"/>
      <c r="B108" s="132"/>
      <c r="C108" s="51"/>
      <c r="D108" s="50"/>
      <c r="E108" s="52"/>
      <c r="F108" s="52"/>
      <c r="G108" s="68"/>
      <c r="H108" s="50"/>
      <c r="J108" s="136"/>
      <c r="K108" s="136"/>
    </row>
    <row r="109" spans="1:11" s="32" customFormat="1" ht="15.75" thickBot="1" x14ac:dyDescent="0.3">
      <c r="A109" s="59" t="s">
        <v>169</v>
      </c>
      <c r="B109" s="134" t="s">
        <v>175</v>
      </c>
      <c r="C109" s="61"/>
      <c r="D109" s="60"/>
      <c r="E109" s="115"/>
      <c r="F109" s="115">
        <v>44925</v>
      </c>
      <c r="G109" s="69"/>
      <c r="H109" s="60"/>
      <c r="I109" s="135">
        <v>12400</v>
      </c>
      <c r="J109" s="136"/>
      <c r="K109" s="136"/>
    </row>
    <row r="110" spans="1:11" s="32" customFormat="1" ht="15.75" thickBot="1" x14ac:dyDescent="0.3">
      <c r="A110" s="58"/>
      <c r="B110" s="132"/>
      <c r="C110" s="51"/>
      <c r="D110" s="50"/>
      <c r="E110" s="52"/>
      <c r="F110" s="52"/>
      <c r="G110" s="68"/>
      <c r="H110" s="50"/>
      <c r="J110" s="136"/>
      <c r="K110" s="136"/>
    </row>
    <row r="111" spans="1:11" s="32" customFormat="1" ht="15.75" thickBot="1" x14ac:dyDescent="0.3">
      <c r="A111" s="59" t="s">
        <v>170</v>
      </c>
      <c r="B111" s="134" t="s">
        <v>175</v>
      </c>
      <c r="C111" s="61"/>
      <c r="D111" s="60"/>
      <c r="E111" s="115"/>
      <c r="F111" s="115">
        <v>44925</v>
      </c>
      <c r="G111" s="69"/>
      <c r="H111" s="60"/>
      <c r="I111" s="135">
        <v>12400</v>
      </c>
      <c r="J111" s="136"/>
      <c r="K111" s="136"/>
    </row>
    <row r="112" spans="1:11" s="32" customFormat="1" ht="15.75" thickBot="1" x14ac:dyDescent="0.3">
      <c r="A112" s="58"/>
      <c r="B112" s="132"/>
      <c r="C112" s="51"/>
      <c r="D112" s="50"/>
      <c r="E112" s="52"/>
      <c r="F112" s="52"/>
      <c r="G112" s="68"/>
      <c r="H112" s="50"/>
      <c r="J112" s="136"/>
      <c r="K112" s="136"/>
    </row>
    <row r="113" spans="1:11" s="32" customFormat="1" ht="15.75" thickBot="1" x14ac:dyDescent="0.3">
      <c r="A113" s="59" t="s">
        <v>171</v>
      </c>
      <c r="B113" s="134" t="s">
        <v>175</v>
      </c>
      <c r="C113" s="61"/>
      <c r="D113" s="60"/>
      <c r="E113" s="115"/>
      <c r="F113" s="115">
        <v>44925</v>
      </c>
      <c r="G113" s="69"/>
      <c r="H113" s="60"/>
      <c r="I113" s="135">
        <v>12400</v>
      </c>
      <c r="J113" s="136"/>
      <c r="K113" s="136"/>
    </row>
    <row r="114" spans="1:11" s="32" customFormat="1" ht="15.75" thickBot="1" x14ac:dyDescent="0.3">
      <c r="A114" s="58"/>
      <c r="B114" s="132"/>
      <c r="C114" s="51"/>
      <c r="D114" s="50"/>
      <c r="E114" s="52"/>
      <c r="F114" s="52"/>
      <c r="G114" s="68"/>
      <c r="H114" s="50"/>
      <c r="J114" s="136"/>
      <c r="K114" s="136"/>
    </row>
    <row r="115" spans="1:11" s="32" customFormat="1" ht="15.75" thickBot="1" x14ac:dyDescent="0.3">
      <c r="A115" s="15" t="s">
        <v>172</v>
      </c>
      <c r="B115" s="137" t="s">
        <v>173</v>
      </c>
      <c r="C115" s="17"/>
      <c r="D115" s="16"/>
      <c r="E115" s="19"/>
      <c r="F115" s="19">
        <v>44925</v>
      </c>
      <c r="G115" s="20"/>
      <c r="H115" s="16"/>
      <c r="I115" s="82">
        <v>24900</v>
      </c>
      <c r="J115" s="136"/>
      <c r="K115" s="136"/>
    </row>
    <row r="116" spans="1:11" s="32" customFormat="1" ht="15.75" thickBot="1" x14ac:dyDescent="0.3">
      <c r="A116" s="45"/>
      <c r="B116" s="138" t="s">
        <v>174</v>
      </c>
      <c r="C116" s="47"/>
      <c r="D116" s="46"/>
      <c r="E116" s="48"/>
      <c r="F116" s="48"/>
      <c r="G116" s="88"/>
      <c r="H116" s="46"/>
      <c r="I116" s="90"/>
      <c r="J116" s="136"/>
      <c r="K116" s="98">
        <f>SUM(I107:I116)</f>
        <v>72200</v>
      </c>
    </row>
    <row r="117" spans="1:11" s="32" customFormat="1" x14ac:dyDescent="0.25">
      <c r="A117" s="58"/>
      <c r="B117" s="132"/>
      <c r="C117" s="51"/>
      <c r="D117" s="50"/>
      <c r="E117" s="52"/>
      <c r="F117" s="52"/>
      <c r="G117" s="68"/>
      <c r="H117" s="50"/>
    </row>
    <row r="118" spans="1:11" s="32" customFormat="1" ht="19.5" x14ac:dyDescent="0.3">
      <c r="A118" s="58"/>
      <c r="B118" s="142" t="s">
        <v>177</v>
      </c>
      <c r="C118" s="51"/>
      <c r="D118" s="50"/>
      <c r="E118" s="52"/>
      <c r="F118" s="52"/>
      <c r="G118" s="68"/>
      <c r="H118" s="50"/>
    </row>
    <row r="119" spans="1:11" s="32" customFormat="1" ht="15.75" thickBot="1" x14ac:dyDescent="0.3">
      <c r="A119" s="50"/>
      <c r="B119" s="50"/>
      <c r="C119" s="51"/>
      <c r="D119" s="50"/>
      <c r="E119" s="52"/>
      <c r="F119" s="52"/>
      <c r="G119" s="68"/>
      <c r="H119" s="50"/>
    </row>
    <row r="120" spans="1:11" s="32" customFormat="1" x14ac:dyDescent="0.25">
      <c r="A120" s="59" t="s">
        <v>152</v>
      </c>
      <c r="B120" s="60" t="s">
        <v>153</v>
      </c>
      <c r="C120" s="61"/>
      <c r="D120" s="60"/>
      <c r="E120" s="49"/>
      <c r="F120" s="77" t="s">
        <v>154</v>
      </c>
      <c r="G120" s="69"/>
      <c r="H120" s="60"/>
      <c r="I120" s="64">
        <v>68400</v>
      </c>
    </row>
    <row r="121" spans="1:11" x14ac:dyDescent="0.25">
      <c r="A121" s="50"/>
      <c r="B121" s="50"/>
      <c r="C121" s="51"/>
      <c r="D121" s="50"/>
      <c r="E121" s="52"/>
      <c r="F121" s="52"/>
      <c r="G121" s="68"/>
      <c r="H121" s="50"/>
    </row>
    <row r="122" spans="1:11" s="32" customFormat="1" x14ac:dyDescent="0.25">
      <c r="A122" s="15" t="s">
        <v>155</v>
      </c>
      <c r="B122" s="120" t="s">
        <v>156</v>
      </c>
      <c r="C122" s="17"/>
      <c r="D122" s="16"/>
      <c r="E122" s="19"/>
      <c r="F122" s="79" t="s">
        <v>157</v>
      </c>
      <c r="G122" s="20"/>
      <c r="H122" s="16"/>
      <c r="I122" s="82">
        <v>80400</v>
      </c>
    </row>
    <row r="123" spans="1:11" s="32" customFormat="1" ht="30" x14ac:dyDescent="0.25">
      <c r="A123" s="83"/>
      <c r="B123" s="122" t="s">
        <v>158</v>
      </c>
      <c r="C123" s="12"/>
      <c r="D123" s="11"/>
      <c r="E123" s="14"/>
      <c r="F123" s="14"/>
      <c r="G123" s="72"/>
      <c r="H123" s="11"/>
      <c r="I123" s="85"/>
    </row>
    <row r="124" spans="1:11" s="32" customFormat="1" ht="30" x14ac:dyDescent="0.25">
      <c r="A124" s="83"/>
      <c r="B124" s="122" t="s">
        <v>159</v>
      </c>
      <c r="C124" s="12"/>
      <c r="D124" s="11"/>
      <c r="E124" s="14"/>
      <c r="F124" s="14"/>
      <c r="G124" s="72"/>
      <c r="H124" s="11"/>
      <c r="I124" s="85"/>
    </row>
    <row r="125" spans="1:11" s="32" customFormat="1" ht="30" x14ac:dyDescent="0.25">
      <c r="A125" s="83"/>
      <c r="B125" s="122" t="s">
        <v>160</v>
      </c>
      <c r="C125" s="12"/>
      <c r="D125" s="11"/>
      <c r="E125" s="14"/>
      <c r="F125" s="14"/>
      <c r="G125" s="72"/>
      <c r="H125" s="11"/>
      <c r="I125" s="85"/>
    </row>
    <row r="126" spans="1:11" s="32" customFormat="1" ht="30" x14ac:dyDescent="0.25">
      <c r="A126" s="83"/>
      <c r="B126" s="122" t="s">
        <v>161</v>
      </c>
      <c r="C126" s="12"/>
      <c r="D126" s="11"/>
      <c r="E126" s="14"/>
      <c r="F126" s="14"/>
      <c r="G126" s="72"/>
      <c r="H126" s="11"/>
      <c r="I126" s="85"/>
    </row>
    <row r="127" spans="1:11" s="32" customFormat="1" ht="30" x14ac:dyDescent="0.25">
      <c r="A127" s="83"/>
      <c r="B127" s="122" t="s">
        <v>162</v>
      </c>
      <c r="C127" s="12"/>
      <c r="D127" s="11"/>
      <c r="E127" s="14"/>
      <c r="F127" s="14"/>
      <c r="G127" s="72"/>
      <c r="H127" s="11"/>
      <c r="I127" s="85"/>
    </row>
    <row r="128" spans="1:11" s="32" customFormat="1" x14ac:dyDescent="0.25">
      <c r="A128" s="45"/>
      <c r="B128" s="125" t="s">
        <v>163</v>
      </c>
      <c r="C128" s="47"/>
      <c r="D128" s="46"/>
      <c r="E128" s="48"/>
      <c r="F128" s="48"/>
      <c r="G128" s="88"/>
      <c r="H128" s="46"/>
      <c r="I128" s="90"/>
      <c r="K128" s="131">
        <f>SUM(I120:I128)</f>
        <v>148800</v>
      </c>
    </row>
    <row r="129" spans="1:8" x14ac:dyDescent="0.25">
      <c r="A129" s="39"/>
      <c r="B129" s="39"/>
      <c r="C129" s="38"/>
      <c r="D129" s="39"/>
      <c r="E129" s="40"/>
      <c r="F129" s="40"/>
      <c r="G129" s="41"/>
      <c r="H129" s="39"/>
    </row>
    <row r="130" spans="1:8" ht="19.5" x14ac:dyDescent="0.3">
      <c r="B130" s="143" t="s">
        <v>178</v>
      </c>
    </row>
    <row r="131" spans="1:8" x14ac:dyDescent="0.25">
      <c r="A131" s="39"/>
      <c r="B131" s="39"/>
      <c r="C131" s="38"/>
      <c r="D131" s="39"/>
      <c r="E131" s="40"/>
      <c r="F131" s="40"/>
      <c r="G131" s="41"/>
      <c r="H131" s="39"/>
    </row>
    <row r="132" spans="1:8" x14ac:dyDescent="0.25">
      <c r="A132" s="39"/>
      <c r="B132" s="39"/>
      <c r="C132" s="38"/>
      <c r="D132" s="39"/>
      <c r="E132" s="39"/>
      <c r="F132" s="39"/>
      <c r="G132" s="50"/>
      <c r="H132" s="39"/>
    </row>
    <row r="133" spans="1:8" x14ac:dyDescent="0.25">
      <c r="A133" s="11" t="s">
        <v>164</v>
      </c>
      <c r="B133" s="11" t="s">
        <v>165</v>
      </c>
      <c r="C133" s="12"/>
      <c r="D133" s="133" t="s">
        <v>166</v>
      </c>
      <c r="E133" s="11"/>
      <c r="F133" s="14">
        <v>44837</v>
      </c>
      <c r="G133" s="41" t="s">
        <v>55</v>
      </c>
      <c r="H133" s="11"/>
    </row>
    <row r="134" spans="1:8" x14ac:dyDescent="0.25">
      <c r="A134" s="11"/>
      <c r="B134" s="11"/>
      <c r="C134" s="12"/>
      <c r="D134" s="11"/>
      <c r="E134" s="12"/>
      <c r="F134" s="14"/>
      <c r="G134" s="11"/>
      <c r="H134" s="11"/>
    </row>
    <row r="135" spans="1:8" x14ac:dyDescent="0.25">
      <c r="A135" s="11"/>
      <c r="B135" s="11"/>
      <c r="C135" s="12"/>
      <c r="D135" s="11"/>
      <c r="E135" s="12"/>
      <c r="F135" s="14"/>
      <c r="G135" s="11"/>
      <c r="H135" s="11"/>
    </row>
  </sheetData>
  <pageMargins left="0.70078740157480324" right="0.70078740157480324" top="0.75196850393700776" bottom="0.75196850393700776" header="0.3" footer="0.3"/>
  <pageSetup paperSize="9" scale="34" firstPageNumber="214748364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firstPageNumber="214748364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firstPageNumber="21474836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Леша</cp:lastModifiedBy>
  <cp:revision>85</cp:revision>
  <dcterms:created xsi:type="dcterms:W3CDTF">2022-09-20T13:30:46Z</dcterms:created>
  <dcterms:modified xsi:type="dcterms:W3CDTF">2022-11-25T16:08:25Z</dcterms:modified>
</cp:coreProperties>
</file>